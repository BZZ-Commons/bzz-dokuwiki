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bzzch-my.sharepoint.com/personal/volkan_demir_bzz_ch/Documents/--- Latest Version ---/M288 - 2025HE/LU00_Admin/"/>
    </mc:Choice>
  </mc:AlternateContent>
  <xr:revisionPtr revIDLastSave="13" documentId="8_{1F0E6DCC-AB6E-4386-BC95-EEACC7AF54AB}" xr6:coauthVersionLast="47" xr6:coauthVersionMax="47" xr10:uidLastSave="{59EB46E7-2C0C-3A49-9D87-6235063222B9}"/>
  <bookViews>
    <workbookView xWindow="0" yWindow="760" windowWidth="34200" windowHeight="21380" xr2:uid="{00000000-000D-0000-FFFF-FFFF00000000}"/>
  </bookViews>
  <sheets>
    <sheet name="Vorl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1" l="1"/>
  <c r="F34" i="1"/>
  <c r="E34" i="1"/>
  <c r="B42" i="1"/>
  <c r="B48" i="1" s="1"/>
  <c r="D58" i="1"/>
  <c r="D34" i="1" s="1"/>
  <c r="A58" i="1"/>
  <c r="A34" i="1" s="1"/>
  <c r="L6" i="1"/>
  <c r="K6" i="1"/>
  <c r="J6" i="1"/>
  <c r="I6" i="1"/>
  <c r="G58" i="1"/>
  <c r="F58" i="1"/>
  <c r="E58" i="1"/>
  <c r="B6" i="1"/>
  <c r="A6" i="1"/>
  <c r="B67" i="1"/>
  <c r="B75" i="1" s="1"/>
  <c r="B85" i="1" s="1"/>
  <c r="B96" i="1" s="1"/>
  <c r="B106" i="1" s="1"/>
  <c r="B114" i="1" s="1"/>
  <c r="B58" i="1"/>
  <c r="B34" i="1" s="1"/>
  <c r="A8" i="1"/>
  <c r="A10" i="1" s="1"/>
  <c r="A13" i="1" s="1"/>
  <c r="A18" i="1" s="1"/>
  <c r="A20" i="1" s="1"/>
  <c r="B8" i="1"/>
  <c r="B10" i="1" s="1"/>
  <c r="B13" i="1" s="1"/>
  <c r="B18" i="1" s="1"/>
  <c r="B20" i="1" s="1"/>
  <c r="B25" i="1" s="1"/>
  <c r="B29" i="1" s="1"/>
  <c r="B31" i="1" s="1"/>
  <c r="E2" i="1" l="1"/>
  <c r="A25" i="1"/>
  <c r="A29" i="1" s="1"/>
  <c r="A31" i="1" s="1"/>
  <c r="A35" i="1" s="1"/>
  <c r="A42" i="1" s="1"/>
  <c r="J2" i="1"/>
  <c r="I2" i="1"/>
  <c r="A59" i="1" l="1"/>
  <c r="A67" i="1" s="1"/>
  <c r="A75" i="1" s="1"/>
  <c r="A85" i="1" s="1"/>
  <c r="A96" i="1" s="1"/>
  <c r="A106" i="1" s="1"/>
  <c r="A114" i="1" s="1"/>
  <c r="A48" i="1"/>
  <c r="K2" i="1"/>
</calcChain>
</file>

<file path=xl/sharedStrings.xml><?xml version="1.0" encoding="utf-8"?>
<sst xmlns="http://schemas.openxmlformats.org/spreadsheetml/2006/main" count="212" uniqueCount="128">
  <si>
    <t>#</t>
  </si>
  <si>
    <t>Kommentar</t>
  </si>
  <si>
    <t>Malus</t>
  </si>
  <si>
    <t>Bonus</t>
  </si>
  <si>
    <t>LL1</t>
  </si>
  <si>
    <t>LL2</t>
  </si>
  <si>
    <t>LL3</t>
  </si>
  <si>
    <t>M288_LB2</t>
  </si>
  <si>
    <t>ME24?</t>
  </si>
  <si>
    <t>Gütestufe 2</t>
  </si>
  <si>
    <t>Gütestufe 1</t>
  </si>
  <si>
    <t>Gütestufe 0</t>
  </si>
  <si>
    <t>Kriterien</t>
  </si>
  <si>
    <t>Formales</t>
  </si>
  <si>
    <t>Startnote</t>
  </si>
  <si>
    <t>Rechtzeitige Abgabe</t>
  </si>
  <si>
    <t>Gütestufe 3</t>
  </si>
  <si>
    <t>Es wurde keine Schriftdeutsch gesprochen im Video (Ausnahme Englisch): -0.5 Noten</t>
  </si>
  <si>
    <t>Videoformat</t>
  </si>
  <si>
    <t>Komprimierte Video-Data</t>
  </si>
  <si>
    <t>720 bis 1080 Pixel</t>
  </si>
  <si>
    <t>Objekte als Array der Dimensionen &gt; 2</t>
  </si>
  <si>
    <t>Default</t>
  </si>
  <si>
    <t>Kein MP4</t>
  </si>
  <si>
    <t>Verwendung von mindestens 2-Dimensionalen Arrays</t>
  </si>
  <si>
    <t>Objekte mit verschiedenen Attributen &gt; 3</t>
  </si>
  <si>
    <t>Es wird mindestens eine While-Loop verwendet</t>
  </si>
  <si>
    <t>Verwendung von kompinierten Selektionskriterien wie || (OR) und &amp;&amp; (AND)</t>
  </si>
  <si>
    <t>1</t>
  </si>
  <si>
    <t>.#</t>
  </si>
  <si>
    <t>Methodenheader sind vollständig</t>
  </si>
  <si>
    <t>3 Kriterien erfüllt: 0.3 Noten</t>
  </si>
  <si>
    <t>2 Kriterien erfüllt: 0.3 Noten</t>
  </si>
  <si>
    <t>2 Kriterien erfüllt: 0.2  Noten</t>
  </si>
  <si>
    <t>1 Kriterium erfüllt: 0.1  Noten</t>
  </si>
  <si>
    <t>0 Kriterium erfüllt: 0.0  Noten</t>
  </si>
  <si>
    <t>3 Kriterien erfüllt: 0.45 Noten</t>
  </si>
  <si>
    <t>2 Kriterien erfüllt: 0.3  Noten</t>
  </si>
  <si>
    <t>1 Kriterium erfüllt: 0.15  Noten</t>
  </si>
  <si>
    <t>Zu laut</t>
  </si>
  <si>
    <t>Störenden Hintergrundgeräusche (Rauschen, Musik, …)</t>
  </si>
  <si>
    <t>Echos</t>
  </si>
  <si>
    <t xml:space="preserve">Zu leise  </t>
  </si>
  <si>
    <t>Es werden mehr als 10 Idioms im Video verwendet</t>
  </si>
  <si>
    <t>Scriptheader sind vollständig</t>
  </si>
  <si>
    <t>Code ist sinnvoll eingerückt</t>
  </si>
  <si>
    <t>Es ist kein unnötiger Code vorhanden.</t>
  </si>
  <si>
    <t>Sinnvolle Incode-Kommentare, relevant ist Qualität &amp; Quantität</t>
  </si>
  <si>
    <t>Best-practise Deklarationsart</t>
  </si>
  <si>
    <t>Verwendung von passenden Datentypen</t>
  </si>
  <si>
    <t>Effiziente Deklartion und Initialisierung (Richtiger Ort, passender Wert)</t>
  </si>
  <si>
    <t>Sinnvolle und nachvollziehbare Benennung der Variablen</t>
  </si>
  <si>
    <t>JS-Allgemein</t>
  </si>
  <si>
    <t>Gütestufe 4</t>
  </si>
  <si>
    <t>Variables + Keywords</t>
  </si>
  <si>
    <t>Einsatz vo if, else</t>
  </si>
  <si>
    <t>Es ist ein else-if Zweig vorhanden</t>
  </si>
  <si>
    <t>Selektionskriterien des if, else if und else sind lückenlos</t>
  </si>
  <si>
    <t>Im Kopf der Selektion ist ein Vergleich</t>
  </si>
  <si>
    <t xml:space="preserve">Selections </t>
  </si>
  <si>
    <t>Anzahl Initialdatensätze &gt; = 5</t>
  </si>
  <si>
    <t xml:space="preserve">Arrays </t>
  </si>
  <si>
    <t xml:space="preserve">Ab dem 2. Versuch </t>
  </si>
  <si>
    <t>Es wird mindestens eine For-Loop verwendet</t>
  </si>
  <si>
    <t>Die Schleifen-relevanten Variablen sind dynamsich (beispielsweise durch array.length)</t>
  </si>
  <si>
    <t>3 fach geschachtelte Schleife</t>
  </si>
  <si>
    <t>2 Kriterien erfüllt: 0.4  Noten</t>
  </si>
  <si>
    <t>1 Kriterium erfüllt: 0.2  Noten</t>
  </si>
  <si>
    <t xml:space="preserve">Schleifen </t>
  </si>
  <si>
    <t>Methode/Function hat mindestens ein Input-Parameter</t>
  </si>
  <si>
    <t>Methode hat ein Rückgabewert (return-value)</t>
  </si>
  <si>
    <t>Es werden ausschliesslich lokale Variablen verwendet (Datenkapselung)</t>
  </si>
  <si>
    <t>Methoden/Funktionen</t>
  </si>
  <si>
    <t xml:space="preserve"> Gütestufe 4</t>
  </si>
  <si>
    <t>Die Auswahl des gewählten Loop-Typs ist sinnvoll.</t>
  </si>
  <si>
    <t xml:space="preserve">Korrekte Indexierung der Grenzen </t>
  </si>
  <si>
    <t xml:space="preserve">2 fach geschachtelte Schleifen </t>
  </si>
  <si>
    <t>HTML-DOM</t>
  </si>
  <si>
    <t>Saubere und eindeutige DOM-Auswahl (querySelector, getElementById, dataset, ….</t>
  </si>
  <si>
    <t>Trennung von Struktur und Logik: HTML für Struktur, JS für Verhalten</t>
  </si>
  <si>
    <t>Sinnvolle und sichere Ereignisbehandlung</t>
  </si>
  <si>
    <t>Zustände und Rückmeldungen nachvollziehbar: UI-Änderungen (Aktive Buttons, Fehlermeldungen, Ladeindikatoren etc.) werden logisch gesteuert und sichtbar gemacht. Kein „Du hast geklickt, aber wir sagen dir nicht, ob etwas passiert ist.“</t>
  </si>
  <si>
    <t xml:space="preserve">Gesprochene Sprache </t>
  </si>
  <si>
    <t>Schriftdeutsch</t>
  </si>
  <si>
    <t>Das Video ist auf Englisch</t>
  </si>
  <si>
    <t>MP4</t>
  </si>
  <si>
    <t>Erwartete Dateigrösse  50-100 MB.</t>
  </si>
  <si>
    <t>Datei ist wesentlich komprimierbar (&gt;20%)</t>
  </si>
  <si>
    <t>Content JavaScript</t>
  </si>
  <si>
    <t>Content Videotelling</t>
  </si>
  <si>
    <t>3 Kriterien erfüllt: 0.15 Noten</t>
  </si>
  <si>
    <t>2 Kriterien erfüllt: 0.1  Noten</t>
  </si>
  <si>
    <t>1 Kriterium erfüllt: 0.5  Noten</t>
  </si>
  <si>
    <t>Verwendung von Switch-Case</t>
  </si>
  <si>
    <t>0 Kriterium erfüllt: 0.0 Noten</t>
  </si>
  <si>
    <t>Abgabezeitpunkt eingehalten, relevant ist die Serverzeit (Uploadzeit beachten</t>
  </si>
  <si>
    <t>Hinweis: Gegen Ende der Lektion, kann der Upload wesentlich länger dauern als geplant</t>
  </si>
  <si>
    <t>Pro angefangenem Tag Verspätung</t>
  </si>
  <si>
    <t>Video fachgerecht (Niveau-Mediamatik) aufbereitet</t>
  </si>
  <si>
    <t xml:space="preserve">Videolänge </t>
  </si>
  <si>
    <t>Korrekte Berechtigung</t>
  </si>
  <si>
    <t>Erster Abgabeversuch ist notenneutral.</t>
  </si>
  <si>
    <t>Verpixelt, verwackelt, schlechter Schnitt oder schlecht erkennbarer Content</t>
  </si>
  <si>
    <t>Verpixelt</t>
  </si>
  <si>
    <t>Verwackelt</t>
  </si>
  <si>
    <t>Schlechter bzw. ungenauer Schnitt</t>
  </si>
  <si>
    <t xml:space="preserve"> Videoqualität </t>
  </si>
  <si>
    <t>Audioqualiät</t>
  </si>
  <si>
    <t>Story</t>
  </si>
  <si>
    <t>Es wird das korrekte Fachvokabular verwendet.</t>
  </si>
  <si>
    <t>Fachinhalt ist eine passende Berufs- oder Lebenssituation eingebettet.</t>
  </si>
  <si>
    <t>Story ist im Schulumfeld nicht angemessen (Nicht zugelassen: Sexismus, Rassismus, Diskriminierung, Alkohol- oder Drogenkonsum, Prostition, Kraftausdrücke, Mileusprache, ...)</t>
  </si>
  <si>
    <t>Spannung</t>
  </si>
  <si>
    <t>Die Geschichte ist im Kern nicht vorhersehbar (Twists….)</t>
  </si>
  <si>
    <t>Es gibt eine Aha-Effekt, bzw. der Twist wird am Ende aufgelöst oder bewusst nicht aufgelöst.</t>
  </si>
  <si>
    <t>Die Kameraführung ist abwechslungsreich</t>
  </si>
  <si>
    <t>Der Objektfokus ist angemessen (nicht zu klein, nicht zu gross)</t>
  </si>
  <si>
    <t>Es werden verschieden Filter angewendet um die entsprechende Stimmung zu vermitteln.</t>
  </si>
  <si>
    <t xml:space="preserve">Verwendung von &gt;2 unterschiedlichen Array-Methoden Löschen von Elementen </t>
  </si>
  <si>
    <t>Verwendung von &gt;2 unterschiedlichen Arrray-Methoden zum Einfügen weiterer Elementen</t>
  </si>
  <si>
    <t xml:space="preserve">Kameraführung </t>
  </si>
  <si>
    <t>Angemessenes Intro</t>
  </si>
  <si>
    <t>Angemessenes Outro</t>
  </si>
  <si>
    <t>3-4 Kriterien erfüllt: 0.45 Noten</t>
  </si>
  <si>
    <t>Pro angefangener abweichender Minute</t>
  </si>
  <si>
    <t>15 +/- 1 Minute (14-16 Minuten)</t>
  </si>
  <si>
    <t>Die Story/das Tutorial ist emotional ansprechend berührend oder erheiternd.</t>
  </si>
  <si>
    <t>Die Story bzw. das Tutorial  unterstütz das Verständnis des Fachinhaltes, d.h. die Fachinhalte wurden mit der realen Welt (Beispiel) verknüpft.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</si>
</sst>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Symbol"/>
      <family val="2"/>
      <charset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2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medium">
        <color indexed="64"/>
      </right>
      <top style="thin">
        <color rgb="FF3F3F3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23" applyNumberFormat="0" applyAlignment="0" applyProtection="0"/>
  </cellStyleXfs>
  <cellXfs count="145">
    <xf numFmtId="0" fontId="0" fillId="0" borderId="0" xfId="0"/>
    <xf numFmtId="0" fontId="0" fillId="0" borderId="1" xfId="0" applyBorder="1"/>
    <xf numFmtId="0" fontId="3" fillId="0" borderId="0" xfId="0" applyFont="1" applyAlignment="1">
      <alignment horizontal="justify" vertical="center"/>
    </xf>
    <xf numFmtId="0" fontId="0" fillId="0" borderId="0" xfId="0" applyAlignment="1">
      <alignment horizontal="center"/>
    </xf>
    <xf numFmtId="0" fontId="7" fillId="2" borderId="3" xfId="1" applyFont="1" applyBorder="1" applyAlignment="1">
      <alignment horizontal="justify" vertical="center"/>
    </xf>
    <xf numFmtId="0" fontId="7" fillId="2" borderId="1" xfId="1" applyFont="1" applyBorder="1" applyAlignment="1">
      <alignment horizontal="justify" vertical="center"/>
    </xf>
    <xf numFmtId="0" fontId="7" fillId="3" borderId="1" xfId="2" applyFont="1" applyBorder="1"/>
    <xf numFmtId="0" fontId="7" fillId="3" borderId="6" xfId="2" applyFont="1" applyBorder="1"/>
    <xf numFmtId="0" fontId="7" fillId="3" borderId="1" xfId="2" applyFont="1" applyBorder="1" applyAlignment="1">
      <alignment horizontal="left"/>
    </xf>
    <xf numFmtId="0" fontId="7" fillId="3" borderId="6" xfId="2" applyFont="1" applyBorder="1" applyAlignment="1">
      <alignment horizontal="left"/>
    </xf>
    <xf numFmtId="2" fontId="7" fillId="2" borderId="4" xfId="1" applyNumberFormat="1" applyFont="1" applyBorder="1" applyAlignment="1">
      <alignment horizontal="center"/>
    </xf>
    <xf numFmtId="2" fontId="7" fillId="2" borderId="10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7" fillId="3" borderId="7" xfId="2" applyNumberFormat="1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18" xfId="0" applyBorder="1"/>
    <xf numFmtId="0" fontId="0" fillId="0" borderId="14" xfId="0" applyBorder="1"/>
    <xf numFmtId="0" fontId="9" fillId="0" borderId="3" xfId="0" applyFont="1" applyBorder="1"/>
    <xf numFmtId="0" fontId="9" fillId="0" borderId="6" xfId="0" applyFont="1" applyBorder="1"/>
    <xf numFmtId="0" fontId="0" fillId="0" borderId="20" xfId="0" applyBorder="1"/>
    <xf numFmtId="0" fontId="0" fillId="0" borderId="21" xfId="0" applyBorder="1"/>
    <xf numFmtId="0" fontId="9" fillId="0" borderId="12" xfId="0" applyFont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22" xfId="0" applyBorder="1" applyAlignment="1">
      <alignment wrapText="1"/>
    </xf>
    <xf numFmtId="0" fontId="9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0" fontId="0" fillId="0" borderId="19" xfId="0" applyBorder="1" applyAlignment="1">
      <alignment wrapText="1"/>
    </xf>
    <xf numFmtId="0" fontId="9" fillId="2" borderId="16" xfId="1" applyFont="1" applyBorder="1"/>
    <xf numFmtId="0" fontId="7" fillId="2" borderId="25" xfId="1" applyFont="1" applyBorder="1" applyAlignment="1">
      <alignment horizontal="justify" vertical="center"/>
    </xf>
    <xf numFmtId="2" fontId="7" fillId="2" borderId="26" xfId="1" applyNumberFormat="1" applyFont="1" applyBorder="1" applyAlignment="1">
      <alignment horizontal="center"/>
    </xf>
    <xf numFmtId="2" fontId="7" fillId="3" borderId="29" xfId="2" applyNumberFormat="1" applyFont="1" applyBorder="1" applyAlignment="1">
      <alignment horizontal="center"/>
    </xf>
    <xf numFmtId="0" fontId="1" fillId="4" borderId="1" xfId="3" applyFont="1" applyBorder="1" applyAlignment="1">
      <alignment horizontal="justify" vertical="center"/>
    </xf>
    <xf numFmtId="0" fontId="1" fillId="4" borderId="1" xfId="3" applyFont="1" applyBorder="1" applyAlignment="1">
      <alignment horizontal="left"/>
    </xf>
    <xf numFmtId="2" fontId="1" fillId="4" borderId="29" xfId="3" applyNumberFormat="1" applyFont="1" applyBorder="1" applyAlignment="1">
      <alignment horizontal="center"/>
    </xf>
    <xf numFmtId="0" fontId="1" fillId="4" borderId="6" xfId="3" applyFont="1" applyBorder="1" applyAlignment="1">
      <alignment horizontal="justify" vertical="center"/>
    </xf>
    <xf numFmtId="0" fontId="1" fillId="4" borderId="6" xfId="3" applyFont="1" applyBorder="1" applyAlignment="1">
      <alignment horizontal="left"/>
    </xf>
    <xf numFmtId="2" fontId="1" fillId="4" borderId="30" xfId="3" applyNumberFormat="1" applyFont="1" applyBorder="1" applyAlignment="1">
      <alignment horizontal="center"/>
    </xf>
    <xf numFmtId="0" fontId="7" fillId="2" borderId="12" xfId="1" applyFont="1" applyBorder="1" applyAlignment="1">
      <alignment horizontal="justify" vertical="center"/>
    </xf>
    <xf numFmtId="2" fontId="7" fillId="2" borderId="13" xfId="1" applyNumberFormat="1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2" borderId="17" xfId="1" applyFont="1" applyBorder="1" applyAlignment="1">
      <alignment horizontal="center"/>
    </xf>
    <xf numFmtId="0" fontId="7" fillId="2" borderId="3" xfId="1" applyFont="1" applyBorder="1" applyAlignment="1">
      <alignment horizontal="justify" vertical="center" wrapText="1"/>
    </xf>
    <xf numFmtId="2" fontId="9" fillId="0" borderId="7" xfId="0" applyNumberFormat="1" applyFont="1" applyBorder="1" applyAlignment="1">
      <alignment horizontal="center"/>
    </xf>
    <xf numFmtId="0" fontId="9" fillId="0" borderId="12" xfId="0" applyFont="1" applyBorder="1"/>
    <xf numFmtId="0" fontId="9" fillId="0" borderId="13" xfId="0" applyFont="1" applyBorder="1" applyAlignment="1">
      <alignment horizontal="center"/>
    </xf>
    <xf numFmtId="0" fontId="7" fillId="2" borderId="21" xfId="1" applyFont="1" applyBorder="1" applyAlignment="1">
      <alignment horizontal="justify" vertical="center"/>
    </xf>
    <xf numFmtId="2" fontId="7" fillId="2" borderId="22" xfId="1" applyNumberFormat="1" applyFont="1" applyBorder="1" applyAlignment="1">
      <alignment horizontal="center"/>
    </xf>
    <xf numFmtId="0" fontId="7" fillId="2" borderId="31" xfId="1" applyFont="1" applyBorder="1" applyAlignment="1">
      <alignment horizontal="justify" vertical="center"/>
    </xf>
    <xf numFmtId="2" fontId="7" fillId="2" borderId="32" xfId="1" applyNumberFormat="1" applyFont="1" applyBorder="1" applyAlignment="1">
      <alignment horizontal="center"/>
    </xf>
    <xf numFmtId="0" fontId="0" fillId="0" borderId="8" xfId="0" applyBorder="1"/>
    <xf numFmtId="0" fontId="0" fillId="0" borderId="31" xfId="0" applyBorder="1"/>
    <xf numFmtId="0" fontId="0" fillId="0" borderId="32" xfId="0" applyBorder="1" applyAlignment="1">
      <alignment wrapText="1"/>
    </xf>
    <xf numFmtId="2" fontId="12" fillId="5" borderId="34" xfId="4" applyNumberFormat="1" applyFont="1" applyBorder="1" applyAlignment="1">
      <alignment horizontal="center"/>
    </xf>
    <xf numFmtId="2" fontId="12" fillId="5" borderId="35" xfId="4" applyNumberFormat="1" applyFont="1" applyBorder="1" applyAlignment="1">
      <alignment horizontal="center"/>
    </xf>
    <xf numFmtId="2" fontId="12" fillId="5" borderId="36" xfId="4" applyNumberFormat="1" applyFont="1" applyBorder="1" applyAlignment="1">
      <alignment horizontal="center"/>
    </xf>
    <xf numFmtId="2" fontId="12" fillId="5" borderId="37" xfId="4" applyNumberFormat="1" applyFont="1" applyBorder="1" applyAlignment="1">
      <alignment horizontal="center"/>
    </xf>
    <xf numFmtId="2" fontId="12" fillId="5" borderId="38" xfId="4" applyNumberFormat="1" applyFont="1" applyBorder="1" applyAlignment="1">
      <alignment horizontal="center"/>
    </xf>
    <xf numFmtId="2" fontId="12" fillId="5" borderId="23" xfId="4" applyNumberFormat="1" applyFont="1" applyAlignment="1">
      <alignment horizontal="center"/>
    </xf>
    <xf numFmtId="2" fontId="12" fillId="5" borderId="39" xfId="4" applyNumberFormat="1" applyFont="1" applyBorder="1" applyAlignment="1">
      <alignment horizontal="center"/>
    </xf>
    <xf numFmtId="2" fontId="12" fillId="5" borderId="40" xfId="4" applyNumberFormat="1" applyFont="1" applyBorder="1" applyAlignment="1">
      <alignment horizontal="center"/>
    </xf>
    <xf numFmtId="2" fontId="12" fillId="5" borderId="41" xfId="4" applyNumberFormat="1" applyFont="1" applyBorder="1" applyAlignment="1">
      <alignment horizontal="center"/>
    </xf>
    <xf numFmtId="2" fontId="12" fillId="5" borderId="42" xfId="4" applyNumberFormat="1" applyFont="1" applyBorder="1" applyAlignment="1">
      <alignment horizontal="center"/>
    </xf>
    <xf numFmtId="2" fontId="12" fillId="5" borderId="43" xfId="4" applyNumberFormat="1" applyFont="1" applyBorder="1" applyAlignment="1">
      <alignment horizontal="center"/>
    </xf>
    <xf numFmtId="2" fontId="12" fillId="5" borderId="44" xfId="4" applyNumberFormat="1" applyFont="1" applyBorder="1" applyAlignment="1">
      <alignment horizontal="center"/>
    </xf>
    <xf numFmtId="2" fontId="12" fillId="5" borderId="45" xfId="4" applyNumberFormat="1" applyFont="1" applyBorder="1" applyAlignment="1">
      <alignment horizontal="center"/>
    </xf>
    <xf numFmtId="2" fontId="12" fillId="5" borderId="46" xfId="4" applyNumberFormat="1" applyFont="1" applyBorder="1" applyAlignment="1">
      <alignment horizontal="center"/>
    </xf>
    <xf numFmtId="2" fontId="12" fillId="5" borderId="47" xfId="4" applyNumberFormat="1" applyFont="1" applyBorder="1" applyAlignment="1">
      <alignment horizontal="center"/>
    </xf>
    <xf numFmtId="0" fontId="2" fillId="4" borderId="1" xfId="3" applyFont="1" applyBorder="1" applyAlignment="1">
      <alignment horizontal="justify" vertical="center"/>
    </xf>
    <xf numFmtId="0" fontId="2" fillId="4" borderId="6" xfId="3" applyFont="1" applyBorder="1" applyAlignment="1">
      <alignment horizontal="justify" vertical="center"/>
    </xf>
    <xf numFmtId="2" fontId="2" fillId="4" borderId="7" xfId="3" applyNumberFormat="1" applyFont="1" applyBorder="1" applyAlignment="1">
      <alignment horizontal="center"/>
    </xf>
    <xf numFmtId="2" fontId="2" fillId="4" borderId="49" xfId="3" applyNumberFormat="1" applyFont="1" applyBorder="1" applyAlignment="1">
      <alignment horizontal="center"/>
    </xf>
    <xf numFmtId="0" fontId="7" fillId="2" borderId="21" xfId="1" applyFont="1" applyBorder="1" applyAlignment="1">
      <alignment horizontal="justify" vertical="center" wrapText="1"/>
    </xf>
    <xf numFmtId="0" fontId="7" fillId="2" borderId="1" xfId="1" applyFont="1" applyBorder="1" applyAlignment="1">
      <alignment horizontal="justify" vertical="center" wrapText="1"/>
    </xf>
    <xf numFmtId="2" fontId="2" fillId="4" borderId="10" xfId="3" applyNumberFormat="1" applyFont="1" applyBorder="1" applyAlignment="1">
      <alignment horizontal="center"/>
    </xf>
    <xf numFmtId="2" fontId="7" fillId="2" borderId="48" xfId="1" applyNumberFormat="1" applyFont="1" applyBorder="1" applyAlignment="1">
      <alignment horizontal="center"/>
    </xf>
    <xf numFmtId="2" fontId="7" fillId="2" borderId="50" xfId="1" applyNumberFormat="1" applyFont="1" applyBorder="1" applyAlignment="1">
      <alignment horizontal="center"/>
    </xf>
    <xf numFmtId="2" fontId="2" fillId="4" borderId="50" xfId="3" applyNumberFormat="1" applyFont="1" applyBorder="1" applyAlignment="1">
      <alignment horizontal="center"/>
    </xf>
    <xf numFmtId="0" fontId="9" fillId="0" borderId="2" xfId="0" applyFont="1" applyBorder="1" applyAlignment="1">
      <alignment horizontal="center" vertical="top"/>
    </xf>
    <xf numFmtId="0" fontId="9" fillId="0" borderId="51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9" fillId="0" borderId="11" xfId="0" applyFont="1" applyBorder="1" applyAlignment="1">
      <alignment horizontal="center" vertical="top"/>
    </xf>
    <xf numFmtId="0" fontId="9" fillId="0" borderId="53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9" fillId="2" borderId="15" xfId="1" applyNumberFormat="1" applyFont="1" applyBorder="1" applyAlignment="1">
      <alignment horizontal="center" vertical="top"/>
    </xf>
    <xf numFmtId="0" fontId="9" fillId="2" borderId="54" xfId="1" applyNumberFormat="1" applyFont="1" applyBorder="1" applyAlignment="1">
      <alignment horizontal="center" vertical="top"/>
    </xf>
    <xf numFmtId="0" fontId="7" fillId="2" borderId="11" xfId="1" applyNumberFormat="1" applyFont="1" applyBorder="1" applyAlignment="1">
      <alignment horizontal="center" vertical="top"/>
    </xf>
    <xf numFmtId="0" fontId="7" fillId="2" borderId="53" xfId="1" applyNumberFormat="1" applyFont="1" applyBorder="1" applyAlignment="1">
      <alignment horizontal="center" vertical="top"/>
    </xf>
    <xf numFmtId="0" fontId="7" fillId="2" borderId="2" xfId="1" applyNumberFormat="1" applyFont="1" applyBorder="1" applyAlignment="1">
      <alignment horizontal="center" vertical="top"/>
    </xf>
    <xf numFmtId="0" fontId="7" fillId="2" borderId="51" xfId="1" applyNumberFormat="1" applyFont="1" applyBorder="1" applyAlignment="1">
      <alignment horizontal="center" vertical="top"/>
    </xf>
    <xf numFmtId="0" fontId="7" fillId="3" borderId="5" xfId="2" applyNumberFormat="1" applyFont="1" applyBorder="1" applyAlignment="1">
      <alignment horizontal="center"/>
    </xf>
    <xf numFmtId="0" fontId="7" fillId="3" borderId="52" xfId="2" applyNumberFormat="1" applyFont="1" applyBorder="1" applyAlignment="1">
      <alignment horizontal="center"/>
    </xf>
    <xf numFmtId="0" fontId="7" fillId="3" borderId="9" xfId="2" applyNumberFormat="1" applyFont="1" applyBorder="1" applyAlignment="1">
      <alignment horizontal="center"/>
    </xf>
    <xf numFmtId="0" fontId="7" fillId="3" borderId="27" xfId="2" applyNumberFormat="1" applyFont="1" applyBorder="1" applyAlignment="1">
      <alignment horizontal="center"/>
    </xf>
    <xf numFmtId="0" fontId="1" fillId="4" borderId="9" xfId="3" applyNumberFormat="1" applyFont="1" applyBorder="1" applyAlignment="1">
      <alignment horizontal="center"/>
    </xf>
    <xf numFmtId="0" fontId="1" fillId="4" borderId="27" xfId="3" applyNumberFormat="1" applyFont="1" applyBorder="1" applyAlignment="1">
      <alignment horizontal="center"/>
    </xf>
    <xf numFmtId="0" fontId="1" fillId="4" borderId="5" xfId="3" applyNumberFormat="1" applyFont="1" applyBorder="1" applyAlignment="1">
      <alignment horizontal="center"/>
    </xf>
    <xf numFmtId="0" fontId="1" fillId="4" borderId="52" xfId="3" applyNumberFormat="1" applyFont="1" applyBorder="1" applyAlignment="1">
      <alignment horizontal="center"/>
    </xf>
    <xf numFmtId="0" fontId="7" fillId="2" borderId="9" xfId="1" applyNumberFormat="1" applyFont="1" applyBorder="1" applyAlignment="1">
      <alignment horizontal="center" vertical="top"/>
    </xf>
    <xf numFmtId="0" fontId="7" fillId="2" borderId="27" xfId="1" applyNumberFormat="1" applyFont="1" applyBorder="1" applyAlignment="1">
      <alignment horizontal="center" vertical="top"/>
    </xf>
    <xf numFmtId="0" fontId="7" fillId="2" borderId="24" xfId="1" applyNumberFormat="1" applyFont="1" applyBorder="1" applyAlignment="1">
      <alignment horizontal="center" vertical="top"/>
    </xf>
    <xf numFmtId="0" fontId="7" fillId="2" borderId="28" xfId="1" applyNumberFormat="1" applyFont="1" applyBorder="1" applyAlignment="1">
      <alignment horizontal="center" vertical="top"/>
    </xf>
    <xf numFmtId="0" fontId="2" fillId="4" borderId="9" xfId="3" applyNumberFormat="1" applyFont="1" applyBorder="1" applyAlignment="1">
      <alignment horizontal="center" vertical="top"/>
    </xf>
    <xf numFmtId="0" fontId="2" fillId="4" borderId="27" xfId="3" applyNumberFormat="1" applyFont="1" applyBorder="1" applyAlignment="1">
      <alignment horizontal="center" vertical="top"/>
    </xf>
    <xf numFmtId="0" fontId="2" fillId="4" borderId="5" xfId="3" applyNumberFormat="1" applyFont="1" applyBorder="1" applyAlignment="1">
      <alignment horizontal="center" vertical="top"/>
    </xf>
    <xf numFmtId="0" fontId="2" fillId="4" borderId="52" xfId="3" applyNumberFormat="1" applyFont="1" applyBorder="1" applyAlignment="1">
      <alignment horizontal="center" vertical="top"/>
    </xf>
    <xf numFmtId="0" fontId="7" fillId="2" borderId="8" xfId="1" applyNumberFormat="1" applyFont="1" applyBorder="1" applyAlignment="1">
      <alignment horizontal="center" vertical="top"/>
    </xf>
    <xf numFmtId="0" fontId="7" fillId="2" borderId="33" xfId="1" applyNumberFormat="1" applyFont="1" applyBorder="1" applyAlignment="1">
      <alignment horizontal="center" vertical="top"/>
    </xf>
    <xf numFmtId="2" fontId="12" fillId="5" borderId="55" xfId="4" applyNumberFormat="1" applyFont="1" applyBorder="1" applyAlignment="1">
      <alignment horizontal="center"/>
    </xf>
    <xf numFmtId="2" fontId="12" fillId="5" borderId="56" xfId="4" applyNumberFormat="1" applyFont="1" applyBorder="1" applyAlignment="1">
      <alignment horizontal="center"/>
    </xf>
    <xf numFmtId="2" fontId="12" fillId="5" borderId="57" xfId="4" applyNumberFormat="1" applyFont="1" applyBorder="1" applyAlignment="1">
      <alignment horizontal="center"/>
    </xf>
    <xf numFmtId="0" fontId="7" fillId="3" borderId="8" xfId="2" applyNumberFormat="1" applyFont="1" applyBorder="1" applyAlignment="1">
      <alignment horizontal="center" vertical="top"/>
    </xf>
    <xf numFmtId="0" fontId="7" fillId="3" borderId="33" xfId="2" applyNumberFormat="1" applyFont="1" applyBorder="1" applyAlignment="1">
      <alignment horizontal="center" vertical="top"/>
    </xf>
    <xf numFmtId="0" fontId="7" fillId="3" borderId="31" xfId="2" applyFont="1" applyBorder="1" applyAlignment="1">
      <alignment horizontal="justify" vertical="center"/>
    </xf>
    <xf numFmtId="0" fontId="7" fillId="3" borderId="1" xfId="2" applyFont="1" applyBorder="1" applyAlignment="1">
      <alignment horizontal="justify" vertical="center" wrapText="1"/>
    </xf>
    <xf numFmtId="2" fontId="7" fillId="3" borderId="10" xfId="2" applyNumberFormat="1" applyFont="1" applyBorder="1" applyAlignment="1">
      <alignment horizontal="center"/>
    </xf>
    <xf numFmtId="2" fontId="7" fillId="3" borderId="50" xfId="2" applyNumberFormat="1" applyFont="1" applyBorder="1" applyAlignment="1">
      <alignment horizontal="center"/>
    </xf>
    <xf numFmtId="0" fontId="7" fillId="2" borderId="15" xfId="1" applyNumberFormat="1" applyFont="1" applyBorder="1" applyAlignment="1">
      <alignment horizontal="center" vertical="top"/>
    </xf>
    <xf numFmtId="0" fontId="7" fillId="2" borderId="54" xfId="1" applyNumberFormat="1" applyFont="1" applyBorder="1" applyAlignment="1">
      <alignment horizontal="center" vertical="top"/>
    </xf>
    <xf numFmtId="0" fontId="7" fillId="2" borderId="1" xfId="1" applyNumberFormat="1" applyFont="1" applyBorder="1" applyAlignment="1">
      <alignment horizontal="center" vertical="top"/>
    </xf>
    <xf numFmtId="0" fontId="9" fillId="2" borderId="11" xfId="1" applyNumberFormat="1" applyFont="1" applyBorder="1" applyAlignment="1">
      <alignment horizontal="center" vertical="top"/>
    </xf>
    <xf numFmtId="0" fontId="9" fillId="2" borderId="12" xfId="1" applyFont="1" applyBorder="1"/>
    <xf numFmtId="0" fontId="9" fillId="2" borderId="13" xfId="1" applyFont="1" applyBorder="1" applyAlignment="1">
      <alignment horizontal="center"/>
    </xf>
    <xf numFmtId="0" fontId="9" fillId="2" borderId="53" xfId="1" applyNumberFormat="1" applyFont="1" applyBorder="1" applyAlignment="1">
      <alignment horizontal="center" vertical="top"/>
    </xf>
    <xf numFmtId="2" fontId="7" fillId="2" borderId="58" xfId="1" applyNumberFormat="1" applyFont="1" applyBorder="1" applyAlignment="1">
      <alignment horizontal="center"/>
    </xf>
    <xf numFmtId="0" fontId="7" fillId="2" borderId="16" xfId="1" applyFont="1" applyBorder="1" applyAlignment="1">
      <alignment horizontal="justify" vertical="center"/>
    </xf>
    <xf numFmtId="0" fontId="7" fillId="2" borderId="6" xfId="1" applyFont="1" applyBorder="1" applyAlignment="1">
      <alignment horizontal="justify" vertical="center"/>
    </xf>
    <xf numFmtId="0" fontId="8" fillId="0" borderId="13" xfId="0" applyFont="1" applyBorder="1" applyAlignment="1">
      <alignment horizontal="center" wrapText="1"/>
    </xf>
    <xf numFmtId="0" fontId="7" fillId="3" borderId="24" xfId="2" applyNumberFormat="1" applyFont="1" applyBorder="1" applyAlignment="1">
      <alignment horizontal="center" vertical="top"/>
    </xf>
    <xf numFmtId="0" fontId="7" fillId="3" borderId="28" xfId="2" applyNumberFormat="1" applyFont="1" applyBorder="1" applyAlignment="1">
      <alignment horizontal="center" vertical="top"/>
    </xf>
    <xf numFmtId="0" fontId="7" fillId="3" borderId="25" xfId="2" applyFont="1" applyBorder="1" applyAlignment="1">
      <alignment horizontal="justify" vertical="center"/>
    </xf>
    <xf numFmtId="0" fontId="7" fillId="3" borderId="6" xfId="2" applyFont="1" applyBorder="1" applyAlignment="1">
      <alignment horizontal="justify" vertical="center"/>
    </xf>
    <xf numFmtId="2" fontId="7" fillId="3" borderId="26" xfId="2" applyNumberFormat="1" applyFont="1" applyBorder="1" applyAlignment="1">
      <alignment horizontal="center"/>
    </xf>
  </cellXfs>
  <cellStyles count="5">
    <cellStyle name="Bad" xfId="2" builtinId="27"/>
    <cellStyle name="Good" xfId="1" builtinId="26"/>
    <cellStyle name="Neutral" xfId="3" builtinId="28"/>
    <cellStyle name="Normal" xfId="0" builtinId="0"/>
    <cellStyle name="Output" xfId="4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tabSelected="1" topLeftCell="A62" zoomScaleNormal="100" workbookViewId="0">
      <selection activeCell="D54" sqref="D54"/>
    </sheetView>
  </sheetViews>
  <sheetFormatPr baseColWidth="10" defaultColWidth="8.6640625" defaultRowHeight="15" x14ac:dyDescent="0.2"/>
  <cols>
    <col min="1" max="2" width="3.1640625" style="95" bestFit="1" customWidth="1"/>
    <col min="3" max="3" width="24.5" customWidth="1"/>
    <col min="4" max="4" width="81" customWidth="1"/>
    <col min="5" max="5" width="9.5" style="3" bestFit="1" customWidth="1"/>
    <col min="6" max="7" width="8.6640625" style="3"/>
    <col min="8" max="8" width="4.1640625" customWidth="1"/>
    <col min="9" max="9" width="7.33203125" customWidth="1"/>
    <col min="10" max="10" width="9" customWidth="1"/>
    <col min="11" max="11" width="8.1640625" customWidth="1"/>
    <col min="12" max="12" width="47.1640625" style="28" customWidth="1"/>
    <col min="13" max="13" width="5.83203125" customWidth="1"/>
  </cols>
  <sheetData>
    <row r="1" spans="1:12" ht="23" thickBot="1" x14ac:dyDescent="0.3">
      <c r="A1" s="88"/>
      <c r="B1" s="89"/>
      <c r="C1" s="23" t="s">
        <v>7</v>
      </c>
      <c r="D1" s="23"/>
      <c r="E1" s="49"/>
      <c r="F1" s="49"/>
      <c r="G1" s="49"/>
      <c r="I1" s="14" t="s">
        <v>4</v>
      </c>
      <c r="J1" s="15" t="s">
        <v>5</v>
      </c>
      <c r="K1" s="15" t="s">
        <v>6</v>
      </c>
      <c r="L1" s="27" t="s">
        <v>1</v>
      </c>
    </row>
    <row r="2" spans="1:12" ht="22" thickBot="1" x14ac:dyDescent="0.3">
      <c r="A2" s="90"/>
      <c r="B2" s="91"/>
      <c r="C2" s="24" t="s">
        <v>8</v>
      </c>
      <c r="D2" s="24"/>
      <c r="E2" s="53">
        <f>SUM(E7:E121)</f>
        <v>5.9999999999999991</v>
      </c>
      <c r="F2" s="53"/>
      <c r="G2" s="53"/>
      <c r="I2" s="14">
        <f>SUM(I6:I121)</f>
        <v>0</v>
      </c>
      <c r="J2" s="15">
        <f>SUM(J6:J121)</f>
        <v>0</v>
      </c>
      <c r="K2" s="15">
        <f>SUM(K6:K121)</f>
        <v>0</v>
      </c>
      <c r="L2" s="139"/>
    </row>
    <row r="3" spans="1:12" ht="22" thickBot="1" x14ac:dyDescent="0.3">
      <c r="A3" s="92"/>
      <c r="B3" s="92"/>
      <c r="C3" s="33"/>
      <c r="D3" s="33"/>
      <c r="E3" s="50"/>
      <c r="F3" s="50"/>
      <c r="G3" s="50"/>
      <c r="I3" s="34"/>
      <c r="J3" s="34"/>
      <c r="K3" s="34"/>
      <c r="L3" s="35"/>
    </row>
    <row r="4" spans="1:12" ht="22" thickBot="1" x14ac:dyDescent="0.3">
      <c r="A4" s="93" t="s">
        <v>0</v>
      </c>
      <c r="B4" s="94" t="s">
        <v>29</v>
      </c>
      <c r="C4" s="54" t="s">
        <v>12</v>
      </c>
      <c r="D4" s="54" t="s">
        <v>1</v>
      </c>
      <c r="E4" s="55" t="s">
        <v>22</v>
      </c>
      <c r="F4" s="55" t="s">
        <v>3</v>
      </c>
      <c r="G4" s="55" t="s">
        <v>2</v>
      </c>
      <c r="L4"/>
    </row>
    <row r="5" spans="1:12" ht="16" thickBot="1" x14ac:dyDescent="0.25">
      <c r="C5" s="2"/>
      <c r="D5" s="2"/>
      <c r="E5" s="12"/>
      <c r="F5" s="12"/>
      <c r="G5" s="12"/>
    </row>
    <row r="6" spans="1:12" ht="22" thickBot="1" x14ac:dyDescent="0.3">
      <c r="A6" s="96" t="str">
        <f>A4</f>
        <v>#</v>
      </c>
      <c r="B6" s="97" t="str">
        <f>B4</f>
        <v>.#</v>
      </c>
      <c r="C6" s="37" t="s">
        <v>13</v>
      </c>
      <c r="D6" s="37"/>
      <c r="E6" s="51" t="s">
        <v>22</v>
      </c>
      <c r="F6" s="51" t="s">
        <v>3</v>
      </c>
      <c r="G6" s="51" t="s">
        <v>2</v>
      </c>
      <c r="I6" s="14">
        <f>I4</f>
        <v>0</v>
      </c>
      <c r="J6" s="15">
        <f>J4</f>
        <v>0</v>
      </c>
      <c r="K6" s="15">
        <f>K4</f>
        <v>0</v>
      </c>
      <c r="L6" s="55">
        <f>L4</f>
        <v>0</v>
      </c>
    </row>
    <row r="7" spans="1:12" ht="17" thickBot="1" x14ac:dyDescent="0.25">
      <c r="A7" s="98">
        <v>1</v>
      </c>
      <c r="B7" s="99" t="s">
        <v>28</v>
      </c>
      <c r="C7" s="47" t="s">
        <v>14</v>
      </c>
      <c r="D7" s="47"/>
      <c r="E7" s="48">
        <v>1</v>
      </c>
      <c r="F7" s="48"/>
      <c r="G7" s="48"/>
      <c r="I7" s="64"/>
      <c r="J7" s="65"/>
      <c r="K7" s="65"/>
      <c r="L7" s="66"/>
    </row>
    <row r="8" spans="1:12" ht="16" x14ac:dyDescent="0.2">
      <c r="A8" s="100">
        <f>A7</f>
        <v>1</v>
      </c>
      <c r="B8" s="101">
        <f>B7+1</f>
        <v>2</v>
      </c>
      <c r="C8" s="4" t="s">
        <v>18</v>
      </c>
      <c r="D8" s="4" t="s">
        <v>85</v>
      </c>
      <c r="E8" s="10"/>
      <c r="F8" s="10"/>
      <c r="G8" s="10"/>
      <c r="I8" s="67"/>
      <c r="J8" s="68"/>
      <c r="K8" s="68"/>
      <c r="L8" s="69"/>
    </row>
    <row r="9" spans="1:12" ht="17" thickBot="1" x14ac:dyDescent="0.25">
      <c r="A9" s="102"/>
      <c r="B9" s="103"/>
      <c r="C9" s="7" t="s">
        <v>2</v>
      </c>
      <c r="D9" s="9" t="s">
        <v>23</v>
      </c>
      <c r="E9" s="13"/>
      <c r="F9" s="13"/>
      <c r="G9" s="13">
        <v>-0.5</v>
      </c>
      <c r="I9" s="70"/>
      <c r="J9" s="71"/>
      <c r="K9" s="71"/>
      <c r="L9" s="72"/>
    </row>
    <row r="10" spans="1:12" ht="16" x14ac:dyDescent="0.2">
      <c r="A10" s="118">
        <f>A8</f>
        <v>1</v>
      </c>
      <c r="B10" s="119">
        <f>B8+1</f>
        <v>3</v>
      </c>
      <c r="C10" s="58" t="s">
        <v>15</v>
      </c>
      <c r="D10" s="4" t="s">
        <v>95</v>
      </c>
      <c r="E10" s="10"/>
      <c r="F10" s="10"/>
      <c r="G10" s="10"/>
      <c r="I10" s="73"/>
      <c r="J10" s="63"/>
      <c r="K10" s="63"/>
      <c r="L10" s="74"/>
    </row>
    <row r="11" spans="1:12" ht="16" x14ac:dyDescent="0.2">
      <c r="A11" s="118"/>
      <c r="B11" s="119"/>
      <c r="C11" s="58"/>
      <c r="D11" s="58" t="s">
        <v>96</v>
      </c>
      <c r="E11" s="59"/>
      <c r="F11" s="59"/>
      <c r="G11" s="59"/>
      <c r="I11" s="120"/>
      <c r="J11" s="121"/>
      <c r="K11" s="121"/>
      <c r="L11" s="122"/>
    </row>
    <row r="12" spans="1:12" ht="17" thickBot="1" x14ac:dyDescent="0.25">
      <c r="A12" s="102"/>
      <c r="B12" s="103"/>
      <c r="C12" s="7" t="s">
        <v>2</v>
      </c>
      <c r="D12" s="9" t="s">
        <v>97</v>
      </c>
      <c r="E12" s="13"/>
      <c r="F12" s="13"/>
      <c r="G12" s="13">
        <v>-4.5</v>
      </c>
      <c r="I12" s="75"/>
      <c r="J12" s="76"/>
      <c r="K12" s="76"/>
      <c r="L12" s="77"/>
    </row>
    <row r="13" spans="1:12" ht="16" x14ac:dyDescent="0.2">
      <c r="A13" s="100">
        <f>A10</f>
        <v>1</v>
      </c>
      <c r="B13" s="101">
        <f>B10+1</f>
        <v>4</v>
      </c>
      <c r="C13" s="4" t="s">
        <v>106</v>
      </c>
      <c r="D13" s="4" t="s">
        <v>20</v>
      </c>
      <c r="E13" s="10"/>
      <c r="F13" s="10"/>
      <c r="G13" s="10"/>
      <c r="I13" s="64"/>
      <c r="J13" s="65"/>
      <c r="K13" s="65"/>
      <c r="L13" s="66"/>
    </row>
    <row r="14" spans="1:12" ht="16" x14ac:dyDescent="0.2">
      <c r="A14" s="123"/>
      <c r="B14" s="124"/>
      <c r="C14" s="125" t="s">
        <v>2</v>
      </c>
      <c r="D14" s="126" t="s">
        <v>103</v>
      </c>
      <c r="E14" s="127"/>
      <c r="F14" s="128"/>
      <c r="G14" s="128">
        <v>-0.25</v>
      </c>
      <c r="I14" s="120"/>
      <c r="J14" s="121"/>
      <c r="K14" s="121"/>
      <c r="L14" s="122"/>
    </row>
    <row r="15" spans="1:12" ht="16" x14ac:dyDescent="0.2">
      <c r="A15" s="123"/>
      <c r="B15" s="124"/>
      <c r="C15" s="125"/>
      <c r="D15" s="126" t="s">
        <v>104</v>
      </c>
      <c r="E15" s="127"/>
      <c r="F15" s="128"/>
      <c r="G15" s="128">
        <v>-0.25</v>
      </c>
      <c r="I15" s="120"/>
      <c r="J15" s="121"/>
      <c r="K15" s="121"/>
      <c r="L15" s="122"/>
    </row>
    <row r="16" spans="1:12" ht="16" x14ac:dyDescent="0.2">
      <c r="A16" s="123"/>
      <c r="B16" s="124"/>
      <c r="C16" s="125"/>
      <c r="D16" s="126" t="s">
        <v>105</v>
      </c>
      <c r="E16" s="127"/>
      <c r="F16" s="128"/>
      <c r="G16" s="128">
        <v>-0.25</v>
      </c>
      <c r="I16" s="120"/>
      <c r="J16" s="121"/>
      <c r="K16" s="121"/>
      <c r="L16" s="122"/>
    </row>
    <row r="17" spans="1:12" ht="17" thickBot="1" x14ac:dyDescent="0.25">
      <c r="A17" s="123"/>
      <c r="B17" s="124"/>
      <c r="C17" s="125"/>
      <c r="D17" s="126" t="s">
        <v>102</v>
      </c>
      <c r="E17" s="127"/>
      <c r="F17" s="128"/>
      <c r="G17" s="128">
        <v>-0.25</v>
      </c>
      <c r="I17" s="70"/>
      <c r="J17" s="71"/>
      <c r="K17" s="71"/>
      <c r="L17" s="72"/>
    </row>
    <row r="18" spans="1:12" ht="16" x14ac:dyDescent="0.2">
      <c r="A18" s="100">
        <f>A13</f>
        <v>1</v>
      </c>
      <c r="B18" s="101">
        <f>B13+1</f>
        <v>5</v>
      </c>
      <c r="C18" s="4" t="s">
        <v>19</v>
      </c>
      <c r="D18" s="4" t="s">
        <v>86</v>
      </c>
      <c r="E18" s="10"/>
      <c r="F18" s="10"/>
      <c r="G18" s="10"/>
      <c r="I18" s="64"/>
      <c r="J18" s="65"/>
      <c r="K18" s="65"/>
      <c r="L18" s="66"/>
    </row>
    <row r="19" spans="1:12" ht="17" thickBot="1" x14ac:dyDescent="0.25">
      <c r="A19" s="102"/>
      <c r="B19" s="103"/>
      <c r="C19" s="7" t="s">
        <v>2</v>
      </c>
      <c r="D19" s="9" t="s">
        <v>87</v>
      </c>
      <c r="E19" s="13"/>
      <c r="F19" s="13"/>
      <c r="G19" s="13">
        <v>-0.5</v>
      </c>
      <c r="I19" s="70"/>
      <c r="J19" s="71"/>
      <c r="K19" s="71"/>
      <c r="L19" s="72"/>
    </row>
    <row r="20" spans="1:12" ht="16" x14ac:dyDescent="0.2">
      <c r="A20" s="100">
        <f>A18</f>
        <v>1</v>
      </c>
      <c r="B20" s="101">
        <f>B18+1</f>
        <v>6</v>
      </c>
      <c r="C20" s="4" t="s">
        <v>107</v>
      </c>
      <c r="D20" s="52" t="s">
        <v>98</v>
      </c>
      <c r="E20" s="10"/>
      <c r="F20" s="85"/>
      <c r="G20" s="85"/>
      <c r="I20" s="64"/>
      <c r="J20" s="65"/>
      <c r="K20" s="65"/>
      <c r="L20" s="66"/>
    </row>
    <row r="21" spans="1:12" ht="16" x14ac:dyDescent="0.2">
      <c r="A21" s="123"/>
      <c r="B21" s="124"/>
      <c r="C21" s="125" t="s">
        <v>2</v>
      </c>
      <c r="D21" s="126" t="s">
        <v>39</v>
      </c>
      <c r="E21" s="127"/>
      <c r="F21" s="128"/>
      <c r="G21" s="128">
        <v>-0.25</v>
      </c>
      <c r="I21" s="120"/>
      <c r="J21" s="121"/>
      <c r="K21" s="121"/>
      <c r="L21" s="122"/>
    </row>
    <row r="22" spans="1:12" ht="16" x14ac:dyDescent="0.2">
      <c r="A22" s="123"/>
      <c r="B22" s="124"/>
      <c r="C22" s="125"/>
      <c r="D22" s="126" t="s">
        <v>42</v>
      </c>
      <c r="E22" s="127"/>
      <c r="F22" s="128"/>
      <c r="G22" s="128">
        <v>-0.25</v>
      </c>
      <c r="I22" s="120"/>
      <c r="J22" s="121"/>
      <c r="K22" s="121"/>
      <c r="L22" s="122"/>
    </row>
    <row r="23" spans="1:12" ht="16" x14ac:dyDescent="0.2">
      <c r="A23" s="123"/>
      <c r="B23" s="124"/>
      <c r="C23" s="125"/>
      <c r="D23" s="126" t="s">
        <v>40</v>
      </c>
      <c r="E23" s="127"/>
      <c r="F23" s="128"/>
      <c r="G23" s="128">
        <v>-0.25</v>
      </c>
      <c r="I23" s="120"/>
      <c r="J23" s="121"/>
      <c r="K23" s="121"/>
      <c r="L23" s="122"/>
    </row>
    <row r="24" spans="1:12" ht="17" thickBot="1" x14ac:dyDescent="0.25">
      <c r="A24" s="123"/>
      <c r="B24" s="124"/>
      <c r="C24" s="125"/>
      <c r="D24" s="126" t="s">
        <v>41</v>
      </c>
      <c r="E24" s="127"/>
      <c r="F24" s="128"/>
      <c r="G24" s="128">
        <v>-0.25</v>
      </c>
      <c r="I24" s="120"/>
      <c r="J24" s="121"/>
      <c r="K24" s="121"/>
      <c r="L24" s="122"/>
    </row>
    <row r="25" spans="1:12" ht="16" x14ac:dyDescent="0.2">
      <c r="A25" s="100">
        <f>A20</f>
        <v>1</v>
      </c>
      <c r="B25" s="101">
        <f>B20+1</f>
        <v>7</v>
      </c>
      <c r="C25" s="4" t="s">
        <v>82</v>
      </c>
      <c r="D25" s="4" t="s">
        <v>83</v>
      </c>
      <c r="E25" s="10"/>
      <c r="F25" s="10"/>
      <c r="G25" s="10"/>
      <c r="I25" s="64"/>
      <c r="J25" s="65"/>
      <c r="K25" s="65"/>
      <c r="L25" s="66"/>
    </row>
    <row r="26" spans="1:12" ht="16" x14ac:dyDescent="0.2">
      <c r="A26" s="104"/>
      <c r="B26" s="105"/>
      <c r="C26" s="6" t="s">
        <v>2</v>
      </c>
      <c r="D26" s="8" t="s">
        <v>17</v>
      </c>
      <c r="E26" s="40"/>
      <c r="F26" s="40"/>
      <c r="G26" s="40">
        <v>-0.5</v>
      </c>
      <c r="I26" s="67"/>
      <c r="J26" s="68"/>
      <c r="K26" s="68"/>
      <c r="L26" s="69"/>
    </row>
    <row r="27" spans="1:12" ht="17" x14ac:dyDescent="0.2">
      <c r="A27" s="106"/>
      <c r="B27" s="107"/>
      <c r="C27" s="41" t="s">
        <v>3</v>
      </c>
      <c r="D27" s="42" t="s">
        <v>84</v>
      </c>
      <c r="E27" s="43"/>
      <c r="F27" s="43">
        <v>0.3</v>
      </c>
      <c r="G27" s="43"/>
      <c r="I27" s="67"/>
      <c r="J27" s="68"/>
      <c r="K27" s="68"/>
      <c r="L27" s="69"/>
    </row>
    <row r="28" spans="1:12" ht="18" thickBot="1" x14ac:dyDescent="0.25">
      <c r="A28" s="108"/>
      <c r="B28" s="109"/>
      <c r="C28" s="44" t="s">
        <v>3</v>
      </c>
      <c r="D28" s="45" t="s">
        <v>43</v>
      </c>
      <c r="E28" s="46"/>
      <c r="F28" s="46">
        <v>0.3</v>
      </c>
      <c r="G28" s="46"/>
      <c r="I28" s="70"/>
      <c r="J28" s="71"/>
      <c r="K28" s="71"/>
      <c r="L28" s="72"/>
    </row>
    <row r="29" spans="1:12" ht="16" x14ac:dyDescent="0.2">
      <c r="A29" s="100">
        <f>A25</f>
        <v>1</v>
      </c>
      <c r="B29" s="101">
        <f>B25+1</f>
        <v>8</v>
      </c>
      <c r="C29" s="4" t="s">
        <v>99</v>
      </c>
      <c r="D29" s="4" t="s">
        <v>125</v>
      </c>
      <c r="E29" s="10"/>
      <c r="F29" s="10"/>
      <c r="G29" s="10"/>
      <c r="I29" s="64"/>
      <c r="J29" s="65"/>
      <c r="K29" s="65"/>
      <c r="L29" s="66"/>
    </row>
    <row r="30" spans="1:12" ht="17" thickBot="1" x14ac:dyDescent="0.25">
      <c r="A30" s="102"/>
      <c r="B30" s="103"/>
      <c r="C30" s="7"/>
      <c r="D30" s="9" t="s">
        <v>124</v>
      </c>
      <c r="E30" s="13"/>
      <c r="F30" s="13"/>
      <c r="G30" s="13">
        <v>-0.25</v>
      </c>
      <c r="I30" s="70"/>
      <c r="J30" s="71"/>
      <c r="K30" s="71"/>
      <c r="L30" s="72"/>
    </row>
    <row r="31" spans="1:12" ht="16" x14ac:dyDescent="0.2">
      <c r="A31" s="100">
        <f>A29</f>
        <v>1</v>
      </c>
      <c r="B31" s="101">
        <f>B29+1</f>
        <v>9</v>
      </c>
      <c r="C31" s="4" t="s">
        <v>100</v>
      </c>
      <c r="D31" s="4" t="s">
        <v>101</v>
      </c>
      <c r="E31" s="10"/>
      <c r="F31" s="10"/>
      <c r="G31" s="10"/>
      <c r="I31" s="73"/>
      <c r="J31" s="63"/>
      <c r="K31" s="63"/>
      <c r="L31" s="74"/>
    </row>
    <row r="32" spans="1:12" ht="17" thickBot="1" x14ac:dyDescent="0.25">
      <c r="A32" s="102"/>
      <c r="B32" s="103"/>
      <c r="C32" s="7"/>
      <c r="D32" s="9" t="s">
        <v>62</v>
      </c>
      <c r="E32" s="13"/>
      <c r="F32" s="13"/>
      <c r="G32" s="13">
        <v>-0.25</v>
      </c>
      <c r="I32" s="70"/>
      <c r="J32" s="71"/>
      <c r="K32" s="71"/>
      <c r="L32" s="72"/>
    </row>
    <row r="33" spans="1:12" ht="16" thickBot="1" x14ac:dyDescent="0.25">
      <c r="C33" s="2"/>
      <c r="D33" s="2"/>
      <c r="E33" s="12"/>
      <c r="F33" s="12"/>
      <c r="G33" s="12"/>
    </row>
    <row r="34" spans="1:12" ht="22" thickBot="1" x14ac:dyDescent="0.3">
      <c r="A34" s="132" t="str">
        <f>A58</f>
        <v>#</v>
      </c>
      <c r="B34" s="135" t="str">
        <f>B58</f>
        <v>.#</v>
      </c>
      <c r="C34" s="133" t="s">
        <v>89</v>
      </c>
      <c r="D34" s="133" t="str">
        <f>D58</f>
        <v>Kommentar</v>
      </c>
      <c r="E34" s="134" t="str">
        <f>E6</f>
        <v>Default</v>
      </c>
      <c r="F34" s="134" t="str">
        <f>F6</f>
        <v>Bonus</v>
      </c>
      <c r="G34" s="134" t="str">
        <f>G6</f>
        <v>Malus</v>
      </c>
      <c r="I34" s="16"/>
      <c r="J34" s="17"/>
      <c r="K34" s="17"/>
      <c r="L34" s="29"/>
    </row>
    <row r="35" spans="1:12" ht="16" x14ac:dyDescent="0.2">
      <c r="A35" s="118">
        <f>A31+1</f>
        <v>2</v>
      </c>
      <c r="B35" s="119">
        <v>1</v>
      </c>
      <c r="C35" s="58" t="s">
        <v>108</v>
      </c>
      <c r="D35" s="82" t="s">
        <v>110</v>
      </c>
      <c r="E35" s="57">
        <v>0.6</v>
      </c>
      <c r="F35" s="57"/>
      <c r="G35" s="57"/>
      <c r="I35" s="16"/>
      <c r="J35" s="17"/>
      <c r="K35" s="17"/>
      <c r="L35" s="29"/>
    </row>
    <row r="36" spans="1:12" ht="32" x14ac:dyDescent="0.2">
      <c r="A36" s="118"/>
      <c r="B36" s="119"/>
      <c r="C36" s="58" t="s">
        <v>16</v>
      </c>
      <c r="D36" s="83" t="s">
        <v>127</v>
      </c>
      <c r="E36" s="57"/>
      <c r="F36" s="57"/>
      <c r="G36" s="57"/>
      <c r="I36" s="60"/>
      <c r="J36" s="61"/>
      <c r="K36" s="61"/>
      <c r="L36" s="62"/>
    </row>
    <row r="37" spans="1:12" ht="16" x14ac:dyDescent="0.2">
      <c r="A37" s="118"/>
      <c r="B37" s="119"/>
      <c r="C37" s="58"/>
      <c r="D37" s="83" t="s">
        <v>109</v>
      </c>
      <c r="E37" s="57"/>
      <c r="F37" s="57"/>
      <c r="G37" s="57"/>
      <c r="I37" s="60"/>
      <c r="J37" s="61"/>
      <c r="K37" s="61"/>
      <c r="L37" s="62"/>
    </row>
    <row r="38" spans="1:12" ht="16" x14ac:dyDescent="0.2">
      <c r="A38" s="110"/>
      <c r="B38" s="131"/>
      <c r="C38" s="5" t="s">
        <v>9</v>
      </c>
      <c r="D38" s="5" t="s">
        <v>66</v>
      </c>
      <c r="E38" s="11"/>
      <c r="F38" s="11"/>
      <c r="G38" s="11"/>
      <c r="I38" s="21"/>
      <c r="J38" s="22"/>
      <c r="K38" s="22"/>
      <c r="L38" s="36"/>
    </row>
    <row r="39" spans="1:12" ht="16" x14ac:dyDescent="0.2">
      <c r="A39" s="110"/>
      <c r="B39" s="131"/>
      <c r="C39" s="5" t="s">
        <v>10</v>
      </c>
      <c r="D39" s="5" t="s">
        <v>67</v>
      </c>
      <c r="E39" s="11"/>
      <c r="F39" s="11"/>
      <c r="G39" s="11"/>
      <c r="I39" s="21"/>
      <c r="J39" s="22"/>
      <c r="K39" s="22"/>
      <c r="L39" s="36"/>
    </row>
    <row r="40" spans="1:12" ht="17" thickBot="1" x14ac:dyDescent="0.25">
      <c r="A40" s="110"/>
      <c r="B40" s="131"/>
      <c r="C40" s="5" t="s">
        <v>11</v>
      </c>
      <c r="D40" s="5" t="s">
        <v>35</v>
      </c>
      <c r="E40" s="11"/>
      <c r="F40" s="11"/>
      <c r="G40" s="11"/>
      <c r="I40" s="19"/>
      <c r="J40" s="20"/>
      <c r="K40" s="20"/>
      <c r="L40" s="31"/>
    </row>
    <row r="41" spans="1:12" ht="33" thickBot="1" x14ac:dyDescent="0.25">
      <c r="A41" s="140"/>
      <c r="B41" s="141"/>
      <c r="C41" s="142" t="s">
        <v>2</v>
      </c>
      <c r="D41" s="143" t="s">
        <v>111</v>
      </c>
      <c r="E41" s="144"/>
      <c r="F41" s="144"/>
      <c r="G41" s="144">
        <v>-2</v>
      </c>
      <c r="I41" s="60"/>
      <c r="J41" s="61"/>
      <c r="K41" s="61"/>
      <c r="L41" s="62"/>
    </row>
    <row r="42" spans="1:12" ht="16" x14ac:dyDescent="0.2">
      <c r="A42" s="129">
        <f>A35</f>
        <v>2</v>
      </c>
      <c r="B42" s="130">
        <f>B35+1</f>
        <v>2</v>
      </c>
      <c r="C42" s="137" t="s">
        <v>112</v>
      </c>
      <c r="D42" s="52" t="s">
        <v>126</v>
      </c>
      <c r="E42" s="10">
        <v>0.6</v>
      </c>
      <c r="F42" s="10"/>
      <c r="G42" s="10"/>
      <c r="I42" s="16"/>
      <c r="J42" s="17"/>
      <c r="K42" s="17"/>
      <c r="L42" s="29"/>
    </row>
    <row r="43" spans="1:12" ht="16" x14ac:dyDescent="0.2">
      <c r="A43" s="118"/>
      <c r="B43" s="119"/>
      <c r="C43" s="58" t="s">
        <v>16</v>
      </c>
      <c r="D43" s="83" t="s">
        <v>113</v>
      </c>
      <c r="E43" s="57"/>
      <c r="F43" s="57"/>
      <c r="G43" s="57"/>
      <c r="I43" s="25"/>
      <c r="J43" s="26"/>
      <c r="K43" s="26"/>
      <c r="L43" s="32"/>
    </row>
    <row r="44" spans="1:12" ht="16" x14ac:dyDescent="0.2">
      <c r="A44" s="118"/>
      <c r="B44" s="119"/>
      <c r="C44" s="58"/>
      <c r="D44" s="83" t="s">
        <v>114</v>
      </c>
      <c r="E44" s="57"/>
      <c r="F44" s="57"/>
      <c r="G44" s="57"/>
      <c r="I44" s="25"/>
      <c r="J44" s="26"/>
      <c r="K44" s="26"/>
      <c r="L44" s="32"/>
    </row>
    <row r="45" spans="1:12" ht="16" x14ac:dyDescent="0.2">
      <c r="A45" s="110"/>
      <c r="B45" s="131"/>
      <c r="C45" s="5" t="s">
        <v>9</v>
      </c>
      <c r="D45" s="5" t="s">
        <v>66</v>
      </c>
      <c r="E45" s="11"/>
      <c r="F45" s="11"/>
      <c r="G45" s="11"/>
      <c r="I45" s="25"/>
      <c r="J45" s="26"/>
      <c r="K45" s="26"/>
      <c r="L45" s="32"/>
    </row>
    <row r="46" spans="1:12" ht="16" x14ac:dyDescent="0.2">
      <c r="A46" s="110"/>
      <c r="B46" s="131"/>
      <c r="C46" s="5" t="s">
        <v>10</v>
      </c>
      <c r="D46" s="5" t="s">
        <v>67</v>
      </c>
      <c r="E46" s="11"/>
      <c r="F46" s="11"/>
      <c r="G46" s="11"/>
      <c r="I46" s="18"/>
      <c r="J46" s="1"/>
      <c r="K46" s="1"/>
      <c r="L46" s="30"/>
    </row>
    <row r="47" spans="1:12" ht="17" thickBot="1" x14ac:dyDescent="0.25">
      <c r="A47" s="112"/>
      <c r="B47" s="113"/>
      <c r="C47" s="38" t="s">
        <v>11</v>
      </c>
      <c r="D47" s="138" t="s">
        <v>35</v>
      </c>
      <c r="E47" s="39"/>
      <c r="F47" s="39"/>
      <c r="G47" s="39"/>
      <c r="I47" s="19"/>
      <c r="J47" s="20"/>
      <c r="K47" s="20"/>
      <c r="L47" s="31"/>
    </row>
    <row r="48" spans="1:12" ht="16" x14ac:dyDescent="0.2">
      <c r="A48" s="129">
        <f>A42</f>
        <v>2</v>
      </c>
      <c r="B48" s="130">
        <f>B42</f>
        <v>2</v>
      </c>
      <c r="C48" s="137" t="s">
        <v>120</v>
      </c>
      <c r="D48" s="52" t="s">
        <v>115</v>
      </c>
      <c r="E48" s="10">
        <v>0.6</v>
      </c>
      <c r="F48" s="10"/>
      <c r="G48" s="10"/>
      <c r="I48" s="16"/>
      <c r="J48" s="17"/>
      <c r="K48" s="17"/>
      <c r="L48" s="29"/>
    </row>
    <row r="49" spans="1:12" ht="16" x14ac:dyDescent="0.2">
      <c r="A49" s="118"/>
      <c r="B49" s="119"/>
      <c r="C49" s="58" t="s">
        <v>53</v>
      </c>
      <c r="D49" s="83" t="s">
        <v>116</v>
      </c>
      <c r="E49" s="57"/>
      <c r="F49" s="57"/>
      <c r="G49" s="57"/>
      <c r="I49" s="25"/>
      <c r="J49" s="26"/>
      <c r="K49" s="26"/>
      <c r="L49" s="32"/>
    </row>
    <row r="50" spans="1:12" ht="16" x14ac:dyDescent="0.2">
      <c r="A50" s="118"/>
      <c r="B50" s="119"/>
      <c r="C50" s="58"/>
      <c r="D50" s="83" t="s">
        <v>117</v>
      </c>
      <c r="E50" s="57"/>
      <c r="F50" s="57"/>
      <c r="G50" s="57"/>
      <c r="I50" s="25"/>
      <c r="J50" s="26"/>
      <c r="K50" s="26"/>
      <c r="L50" s="32"/>
    </row>
    <row r="51" spans="1:12" ht="16" x14ac:dyDescent="0.2">
      <c r="A51" s="118"/>
      <c r="B51" s="119"/>
      <c r="C51" s="58"/>
      <c r="D51" s="83" t="s">
        <v>121</v>
      </c>
      <c r="E51" s="57"/>
      <c r="F51" s="57"/>
      <c r="G51" s="57"/>
      <c r="I51" s="25"/>
      <c r="J51" s="26"/>
      <c r="K51" s="26"/>
      <c r="L51" s="32"/>
    </row>
    <row r="52" spans="1:12" ht="16" x14ac:dyDescent="0.2">
      <c r="A52" s="118"/>
      <c r="B52" s="119"/>
      <c r="C52" s="58"/>
      <c r="D52" s="83" t="s">
        <v>122</v>
      </c>
      <c r="E52" s="57"/>
      <c r="F52" s="57"/>
      <c r="G52" s="57"/>
      <c r="I52" s="25"/>
      <c r="J52" s="26"/>
      <c r="K52" s="26"/>
      <c r="L52" s="32"/>
    </row>
    <row r="53" spans="1:12" ht="16" x14ac:dyDescent="0.2">
      <c r="A53" s="110"/>
      <c r="B53" s="131"/>
      <c r="C53" s="5" t="s">
        <v>16</v>
      </c>
      <c r="D53" s="5" t="s">
        <v>123</v>
      </c>
      <c r="E53" s="11"/>
      <c r="F53" s="11"/>
      <c r="G53" s="11"/>
      <c r="I53" s="25"/>
      <c r="J53" s="26"/>
      <c r="K53" s="26"/>
      <c r="L53" s="32"/>
    </row>
    <row r="54" spans="1:12" ht="16" x14ac:dyDescent="0.2">
      <c r="A54" s="110"/>
      <c r="B54" s="131"/>
      <c r="C54" s="5" t="s">
        <v>9</v>
      </c>
      <c r="D54" s="5" t="s">
        <v>32</v>
      </c>
      <c r="E54" s="11"/>
      <c r="F54" s="11"/>
      <c r="G54" s="11"/>
      <c r="I54" s="25"/>
      <c r="J54" s="26"/>
      <c r="K54" s="26"/>
      <c r="L54" s="32"/>
    </row>
    <row r="55" spans="1:12" ht="16" x14ac:dyDescent="0.2">
      <c r="A55" s="110"/>
      <c r="B55" s="131"/>
      <c r="C55" s="5" t="s">
        <v>10</v>
      </c>
      <c r="D55" s="5" t="s">
        <v>38</v>
      </c>
      <c r="E55" s="11"/>
      <c r="F55" s="11"/>
      <c r="G55" s="11"/>
      <c r="I55" s="18"/>
      <c r="J55" s="1"/>
      <c r="K55" s="1"/>
      <c r="L55" s="30"/>
    </row>
    <row r="56" spans="1:12" ht="17" thickBot="1" x14ac:dyDescent="0.25">
      <c r="A56" s="112"/>
      <c r="B56" s="113"/>
      <c r="C56" s="38" t="s">
        <v>11</v>
      </c>
      <c r="D56" s="138" t="s">
        <v>35</v>
      </c>
      <c r="E56" s="39"/>
      <c r="F56" s="39"/>
      <c r="G56" s="39"/>
      <c r="I56" s="19"/>
      <c r="J56" s="20"/>
      <c r="K56" s="20"/>
      <c r="L56" s="31"/>
    </row>
    <row r="57" spans="1:12" ht="16" thickBot="1" x14ac:dyDescent="0.25">
      <c r="C57" s="2"/>
      <c r="D57" s="2"/>
      <c r="E57" s="12"/>
      <c r="F57" s="12"/>
      <c r="G57" s="12"/>
    </row>
    <row r="58" spans="1:12" ht="22" thickBot="1" x14ac:dyDescent="0.3">
      <c r="A58" s="132" t="str">
        <f>A4</f>
        <v>#</v>
      </c>
      <c r="B58" s="135" t="str">
        <f>B4</f>
        <v>.#</v>
      </c>
      <c r="C58" s="133" t="s">
        <v>88</v>
      </c>
      <c r="D58" s="133" t="str">
        <f>D4</f>
        <v>Kommentar</v>
      </c>
      <c r="E58" s="134" t="str">
        <f>E6</f>
        <v>Default</v>
      </c>
      <c r="F58" s="134" t="str">
        <f>F6</f>
        <v>Bonus</v>
      </c>
      <c r="G58" s="134" t="str">
        <f>G6</f>
        <v>Malus</v>
      </c>
      <c r="I58" s="16"/>
      <c r="J58" s="17"/>
      <c r="K58" s="17"/>
      <c r="L58" s="29"/>
    </row>
    <row r="59" spans="1:12" ht="16" x14ac:dyDescent="0.2">
      <c r="A59" s="118">
        <f>A42+1</f>
        <v>3</v>
      </c>
      <c r="B59" s="119">
        <v>1</v>
      </c>
      <c r="C59" s="58" t="s">
        <v>52</v>
      </c>
      <c r="D59" s="82" t="s">
        <v>44</v>
      </c>
      <c r="E59" s="57">
        <v>0.2</v>
      </c>
      <c r="F59" s="57"/>
      <c r="G59" s="57"/>
      <c r="I59" s="16"/>
      <c r="J59" s="17"/>
      <c r="K59" s="17"/>
      <c r="L59" s="29"/>
    </row>
    <row r="60" spans="1:12" ht="16" x14ac:dyDescent="0.2">
      <c r="A60" s="118"/>
      <c r="B60" s="119"/>
      <c r="C60" s="58" t="s">
        <v>53</v>
      </c>
      <c r="D60" s="83" t="s">
        <v>45</v>
      </c>
      <c r="E60" s="57"/>
      <c r="F60" s="57"/>
      <c r="G60" s="57"/>
      <c r="I60" s="60"/>
      <c r="J60" s="61"/>
      <c r="K60" s="61"/>
      <c r="L60" s="62"/>
    </row>
    <row r="61" spans="1:12" ht="16" x14ac:dyDescent="0.2">
      <c r="A61" s="118"/>
      <c r="B61" s="119"/>
      <c r="C61" s="58"/>
      <c r="D61" s="83" t="s">
        <v>46</v>
      </c>
      <c r="E61" s="57"/>
      <c r="F61" s="57"/>
      <c r="G61" s="57"/>
      <c r="I61" s="60"/>
      <c r="J61" s="61"/>
      <c r="K61" s="61"/>
      <c r="L61" s="62"/>
    </row>
    <row r="62" spans="1:12" ht="16" x14ac:dyDescent="0.2">
      <c r="A62" s="118"/>
      <c r="B62" s="119"/>
      <c r="C62" s="58"/>
      <c r="D62" s="83" t="s">
        <v>47</v>
      </c>
      <c r="E62" s="57"/>
      <c r="F62" s="57"/>
      <c r="G62" s="57"/>
      <c r="I62" s="60"/>
      <c r="J62" s="61"/>
      <c r="K62" s="61"/>
      <c r="L62" s="62"/>
    </row>
    <row r="63" spans="1:12" ht="16" x14ac:dyDescent="0.2">
      <c r="A63" s="131"/>
      <c r="B63" s="131"/>
      <c r="C63" s="5" t="s">
        <v>16</v>
      </c>
      <c r="D63" s="5" t="s">
        <v>90</v>
      </c>
      <c r="E63" s="11"/>
      <c r="F63" s="11"/>
      <c r="G63" s="11"/>
      <c r="I63" s="21"/>
      <c r="J63" s="22"/>
      <c r="K63" s="22"/>
      <c r="L63" s="36"/>
    </row>
    <row r="64" spans="1:12" ht="16" x14ac:dyDescent="0.2">
      <c r="A64" s="131"/>
      <c r="B64" s="131"/>
      <c r="C64" s="5" t="s">
        <v>9</v>
      </c>
      <c r="D64" s="5" t="s">
        <v>91</v>
      </c>
      <c r="E64" s="11"/>
      <c r="F64" s="11"/>
      <c r="G64" s="11"/>
      <c r="I64" s="21"/>
      <c r="J64" s="22"/>
      <c r="K64" s="22"/>
      <c r="L64" s="36"/>
    </row>
    <row r="65" spans="1:12" ht="16" x14ac:dyDescent="0.2">
      <c r="A65" s="131"/>
      <c r="B65" s="131"/>
      <c r="C65" s="5" t="s">
        <v>10</v>
      </c>
      <c r="D65" s="5" t="s">
        <v>92</v>
      </c>
      <c r="E65" s="11"/>
      <c r="F65" s="11"/>
      <c r="G65" s="11"/>
      <c r="I65" s="21"/>
      <c r="J65" s="22"/>
      <c r="K65" s="22"/>
      <c r="L65" s="36"/>
    </row>
    <row r="66" spans="1:12" ht="17" thickBot="1" x14ac:dyDescent="0.25">
      <c r="A66" s="112"/>
      <c r="B66" s="113"/>
      <c r="C66" s="38" t="s">
        <v>11</v>
      </c>
      <c r="D66" s="38" t="s">
        <v>35</v>
      </c>
      <c r="E66" s="39"/>
      <c r="F66" s="39"/>
      <c r="G66" s="39"/>
      <c r="I66" s="19"/>
      <c r="J66" s="20"/>
      <c r="K66" s="20"/>
      <c r="L66" s="31"/>
    </row>
    <row r="67" spans="1:12" ht="16" x14ac:dyDescent="0.2">
      <c r="A67" s="118">
        <f>A59</f>
        <v>3</v>
      </c>
      <c r="B67" s="119">
        <f>B59+1</f>
        <v>2</v>
      </c>
      <c r="C67" s="58" t="s">
        <v>54</v>
      </c>
      <c r="D67" s="82" t="s">
        <v>48</v>
      </c>
      <c r="E67" s="57">
        <v>0.2</v>
      </c>
      <c r="F67" s="57"/>
      <c r="G67" s="57"/>
      <c r="I67" s="16"/>
      <c r="J67" s="17"/>
      <c r="K67" s="17"/>
      <c r="L67" s="29"/>
    </row>
    <row r="68" spans="1:12" ht="16" x14ac:dyDescent="0.2">
      <c r="A68" s="118"/>
      <c r="B68" s="119"/>
      <c r="C68" s="58" t="s">
        <v>53</v>
      </c>
      <c r="D68" s="83" t="s">
        <v>49</v>
      </c>
      <c r="E68" s="57"/>
      <c r="F68" s="57"/>
      <c r="G68" s="57"/>
      <c r="I68" s="25"/>
      <c r="J68" s="26"/>
      <c r="K68" s="26"/>
      <c r="L68" s="32"/>
    </row>
    <row r="69" spans="1:12" ht="16" x14ac:dyDescent="0.2">
      <c r="A69" s="118"/>
      <c r="B69" s="119"/>
      <c r="C69" s="58"/>
      <c r="D69" s="83" t="s">
        <v>51</v>
      </c>
      <c r="E69" s="57"/>
      <c r="F69" s="57"/>
      <c r="G69" s="57"/>
      <c r="I69" s="25"/>
      <c r="J69" s="26"/>
      <c r="K69" s="26"/>
      <c r="L69" s="32"/>
    </row>
    <row r="70" spans="1:12" ht="16" x14ac:dyDescent="0.2">
      <c r="A70" s="118"/>
      <c r="B70" s="119"/>
      <c r="C70" s="58"/>
      <c r="D70" s="83" t="s">
        <v>50</v>
      </c>
      <c r="E70" s="57"/>
      <c r="F70" s="57"/>
      <c r="G70" s="57"/>
      <c r="I70" s="25"/>
      <c r="J70" s="26"/>
      <c r="K70" s="26"/>
      <c r="L70" s="32"/>
    </row>
    <row r="71" spans="1:12" ht="16" x14ac:dyDescent="0.2">
      <c r="A71" s="110"/>
      <c r="B71" s="111"/>
      <c r="C71" s="5" t="s">
        <v>16</v>
      </c>
      <c r="D71" s="5" t="s">
        <v>90</v>
      </c>
      <c r="E71" s="11"/>
      <c r="F71" s="11"/>
      <c r="G71" s="11"/>
      <c r="I71" s="25"/>
      <c r="J71" s="26"/>
      <c r="K71" s="26"/>
      <c r="L71" s="32"/>
    </row>
    <row r="72" spans="1:12" ht="16" x14ac:dyDescent="0.2">
      <c r="A72" s="110"/>
      <c r="B72" s="111"/>
      <c r="C72" s="5" t="s">
        <v>9</v>
      </c>
      <c r="D72" s="5" t="s">
        <v>91</v>
      </c>
      <c r="E72" s="11"/>
      <c r="F72" s="11"/>
      <c r="G72" s="11"/>
      <c r="I72" s="25"/>
      <c r="J72" s="26"/>
      <c r="K72" s="26"/>
      <c r="L72" s="32"/>
    </row>
    <row r="73" spans="1:12" ht="16" x14ac:dyDescent="0.2">
      <c r="A73" s="110"/>
      <c r="B73" s="111"/>
      <c r="C73" s="5" t="s">
        <v>10</v>
      </c>
      <c r="D73" s="5" t="s">
        <v>92</v>
      </c>
      <c r="E73" s="11"/>
      <c r="F73" s="11"/>
      <c r="G73" s="11"/>
      <c r="I73" s="18"/>
      <c r="J73" s="1"/>
      <c r="K73" s="1"/>
      <c r="L73" s="30"/>
    </row>
    <row r="74" spans="1:12" ht="17" thickBot="1" x14ac:dyDescent="0.25">
      <c r="A74" s="112"/>
      <c r="B74" s="113"/>
      <c r="C74" s="38" t="s">
        <v>11</v>
      </c>
      <c r="D74" s="38" t="s">
        <v>35</v>
      </c>
      <c r="E74" s="39"/>
      <c r="F74" s="39"/>
      <c r="G74" s="39"/>
      <c r="I74" s="19"/>
      <c r="J74" s="20"/>
      <c r="K74" s="20"/>
      <c r="L74" s="31"/>
    </row>
    <row r="75" spans="1:12" ht="16" x14ac:dyDescent="0.2">
      <c r="A75" s="118">
        <f>A67</f>
        <v>3</v>
      </c>
      <c r="B75" s="119">
        <f>B67+1</f>
        <v>3</v>
      </c>
      <c r="C75" s="58" t="s">
        <v>59</v>
      </c>
      <c r="D75" s="82" t="s">
        <v>55</v>
      </c>
      <c r="E75" s="57">
        <v>0.4</v>
      </c>
      <c r="F75" s="57"/>
      <c r="G75" s="57"/>
      <c r="I75" s="16"/>
      <c r="J75" s="17"/>
      <c r="K75" s="17"/>
      <c r="L75" s="29"/>
    </row>
    <row r="76" spans="1:12" ht="16" x14ac:dyDescent="0.2">
      <c r="A76" s="118"/>
      <c r="B76" s="119"/>
      <c r="C76" s="58" t="s">
        <v>53</v>
      </c>
      <c r="D76" s="83" t="s">
        <v>56</v>
      </c>
      <c r="E76" s="57"/>
      <c r="F76" s="57"/>
      <c r="G76" s="57"/>
      <c r="I76" s="25"/>
      <c r="J76" s="26"/>
      <c r="K76" s="26"/>
      <c r="L76" s="32"/>
    </row>
    <row r="77" spans="1:12" ht="16" x14ac:dyDescent="0.2">
      <c r="A77" s="118"/>
      <c r="B77" s="119"/>
      <c r="C77" s="58"/>
      <c r="D77" s="83" t="s">
        <v>57</v>
      </c>
      <c r="E77" s="57"/>
      <c r="F77" s="57"/>
      <c r="G77" s="57"/>
      <c r="I77" s="25"/>
      <c r="J77" s="26"/>
      <c r="K77" s="26"/>
      <c r="L77" s="32"/>
    </row>
    <row r="78" spans="1:12" ht="16" x14ac:dyDescent="0.2">
      <c r="A78" s="118"/>
      <c r="B78" s="119"/>
      <c r="C78" s="58"/>
      <c r="D78" s="83" t="s">
        <v>58</v>
      </c>
      <c r="E78" s="57"/>
      <c r="F78" s="57"/>
      <c r="G78" s="57"/>
      <c r="I78" s="25"/>
      <c r="J78" s="26"/>
      <c r="K78" s="26"/>
      <c r="L78" s="32"/>
    </row>
    <row r="79" spans="1:12" ht="16" x14ac:dyDescent="0.2">
      <c r="A79" s="110"/>
      <c r="B79" s="111"/>
      <c r="C79" s="5" t="s">
        <v>16</v>
      </c>
      <c r="D79" s="5" t="s">
        <v>31</v>
      </c>
      <c r="E79" s="11"/>
      <c r="F79" s="11"/>
      <c r="G79" s="11"/>
      <c r="I79" s="25"/>
      <c r="J79" s="26"/>
      <c r="K79" s="26"/>
      <c r="L79" s="32"/>
    </row>
    <row r="80" spans="1:12" ht="16" x14ac:dyDescent="0.2">
      <c r="A80" s="110"/>
      <c r="B80" s="111"/>
      <c r="C80" s="5" t="s">
        <v>9</v>
      </c>
      <c r="D80" s="5" t="s">
        <v>33</v>
      </c>
      <c r="E80" s="11"/>
      <c r="F80" s="11"/>
      <c r="G80" s="11"/>
      <c r="I80" s="18"/>
      <c r="J80" s="1"/>
      <c r="K80" s="1"/>
      <c r="L80" s="30"/>
    </row>
    <row r="81" spans="1:12" ht="16" x14ac:dyDescent="0.2">
      <c r="A81" s="110"/>
      <c r="B81" s="111"/>
      <c r="C81" s="5" t="s">
        <v>10</v>
      </c>
      <c r="D81" s="5" t="s">
        <v>34</v>
      </c>
      <c r="E81" s="11"/>
      <c r="F81" s="11"/>
      <c r="G81" s="11"/>
      <c r="I81" s="25"/>
      <c r="J81" s="26"/>
      <c r="K81" s="26"/>
      <c r="L81" s="32"/>
    </row>
    <row r="82" spans="1:12" ht="16" x14ac:dyDescent="0.2">
      <c r="A82" s="110"/>
      <c r="B82" s="111"/>
      <c r="C82" s="5" t="s">
        <v>11</v>
      </c>
      <c r="D82" s="5" t="s">
        <v>94</v>
      </c>
      <c r="E82" s="11"/>
      <c r="F82" s="86"/>
      <c r="G82" s="86"/>
      <c r="I82" s="25"/>
      <c r="J82" s="26"/>
      <c r="K82" s="26"/>
      <c r="L82" s="32"/>
    </row>
    <row r="83" spans="1:12" ht="17" x14ac:dyDescent="0.2">
      <c r="A83" s="114"/>
      <c r="B83" s="115"/>
      <c r="C83" s="78" t="s">
        <v>3</v>
      </c>
      <c r="D83" s="41" t="s">
        <v>27</v>
      </c>
      <c r="E83" s="84"/>
      <c r="F83" s="87">
        <v>0.2</v>
      </c>
      <c r="G83" s="87"/>
      <c r="I83" s="18"/>
      <c r="J83" s="1"/>
      <c r="K83" s="1"/>
      <c r="L83" s="30"/>
    </row>
    <row r="84" spans="1:12" ht="18" thickBot="1" x14ac:dyDescent="0.25">
      <c r="A84" s="116"/>
      <c r="B84" s="117"/>
      <c r="C84" s="79" t="s">
        <v>3</v>
      </c>
      <c r="D84" s="44" t="s">
        <v>93</v>
      </c>
      <c r="E84" s="80"/>
      <c r="F84" s="81">
        <v>0.2</v>
      </c>
      <c r="G84" s="81"/>
      <c r="I84" s="19"/>
      <c r="J84" s="20"/>
      <c r="K84" s="20"/>
      <c r="L84" s="31"/>
    </row>
    <row r="85" spans="1:12" ht="16" x14ac:dyDescent="0.2">
      <c r="A85" s="118">
        <f>A75</f>
        <v>3</v>
      </c>
      <c r="B85" s="119">
        <f>B75+1</f>
        <v>4</v>
      </c>
      <c r="C85" s="58" t="s">
        <v>61</v>
      </c>
      <c r="D85" s="52" t="s">
        <v>24</v>
      </c>
      <c r="E85" s="10">
        <v>0.6</v>
      </c>
      <c r="F85" s="85"/>
      <c r="G85" s="85"/>
      <c r="I85" s="16"/>
      <c r="J85" s="17"/>
      <c r="K85" s="17"/>
      <c r="L85" s="29"/>
    </row>
    <row r="86" spans="1:12" ht="16" x14ac:dyDescent="0.2">
      <c r="A86" s="118"/>
      <c r="B86" s="119"/>
      <c r="C86" s="58" t="s">
        <v>53</v>
      </c>
      <c r="D86" s="82" t="s">
        <v>60</v>
      </c>
      <c r="E86" s="57"/>
      <c r="F86" s="136"/>
      <c r="G86" s="136"/>
      <c r="I86" s="25"/>
      <c r="J86" s="26"/>
      <c r="K86" s="26"/>
      <c r="L86" s="32"/>
    </row>
    <row r="87" spans="1:12" ht="16" x14ac:dyDescent="0.2">
      <c r="A87" s="118"/>
      <c r="B87" s="119"/>
      <c r="C87" s="58"/>
      <c r="D87" s="82" t="s">
        <v>119</v>
      </c>
      <c r="E87" s="57"/>
      <c r="F87" s="136"/>
      <c r="G87" s="136"/>
      <c r="I87" s="25"/>
      <c r="J87" s="26"/>
      <c r="K87" s="26"/>
      <c r="L87" s="32"/>
    </row>
    <row r="88" spans="1:12" ht="16" x14ac:dyDescent="0.2">
      <c r="A88" s="118"/>
      <c r="B88" s="119"/>
      <c r="C88" s="58"/>
      <c r="D88" s="82" t="s">
        <v>118</v>
      </c>
      <c r="E88" s="57"/>
      <c r="F88" s="136"/>
      <c r="G88" s="136"/>
      <c r="I88" s="25"/>
      <c r="J88" s="26"/>
      <c r="K88" s="26"/>
      <c r="L88" s="32"/>
    </row>
    <row r="89" spans="1:12" ht="16" x14ac:dyDescent="0.2">
      <c r="A89" s="118"/>
      <c r="B89" s="119"/>
      <c r="C89" s="58"/>
      <c r="D89" s="82" t="s">
        <v>75</v>
      </c>
      <c r="E89" s="57"/>
      <c r="F89" s="136"/>
      <c r="G89" s="136"/>
      <c r="I89" s="25"/>
      <c r="J89" s="26"/>
      <c r="K89" s="26"/>
      <c r="L89" s="32"/>
    </row>
    <row r="90" spans="1:12" ht="16" x14ac:dyDescent="0.2">
      <c r="A90" s="110"/>
      <c r="B90" s="111"/>
      <c r="C90" s="5" t="s">
        <v>16</v>
      </c>
      <c r="D90" s="5" t="s">
        <v>36</v>
      </c>
      <c r="E90" s="57"/>
      <c r="F90" s="136"/>
      <c r="G90" s="136"/>
      <c r="I90" s="25"/>
      <c r="J90" s="26"/>
      <c r="K90" s="26"/>
      <c r="L90" s="32"/>
    </row>
    <row r="91" spans="1:12" ht="16" x14ac:dyDescent="0.2">
      <c r="A91" s="110"/>
      <c r="B91" s="111"/>
      <c r="C91" s="5" t="s">
        <v>9</v>
      </c>
      <c r="D91" s="5" t="s">
        <v>37</v>
      </c>
      <c r="E91" s="11"/>
      <c r="F91" s="86"/>
      <c r="G91" s="86"/>
      <c r="I91" s="18"/>
      <c r="J91" s="1"/>
      <c r="K91" s="1"/>
      <c r="L91" s="30"/>
    </row>
    <row r="92" spans="1:12" ht="16" x14ac:dyDescent="0.2">
      <c r="A92" s="110"/>
      <c r="B92" s="111"/>
      <c r="C92" s="5" t="s">
        <v>10</v>
      </c>
      <c r="D92" s="5" t="s">
        <v>38</v>
      </c>
      <c r="E92" s="11"/>
      <c r="F92" s="86"/>
      <c r="G92" s="86"/>
      <c r="I92" s="18"/>
      <c r="J92" s="1"/>
      <c r="K92" s="1"/>
      <c r="L92" s="30"/>
    </row>
    <row r="93" spans="1:12" ht="16" x14ac:dyDescent="0.2">
      <c r="A93" s="110"/>
      <c r="B93" s="111"/>
      <c r="C93" s="5" t="s">
        <v>11</v>
      </c>
      <c r="D93" s="5" t="s">
        <v>94</v>
      </c>
      <c r="E93" s="11"/>
      <c r="F93" s="86"/>
      <c r="G93" s="86"/>
      <c r="I93" s="18"/>
      <c r="J93" s="1"/>
      <c r="K93" s="1"/>
      <c r="L93" s="30"/>
    </row>
    <row r="94" spans="1:12" ht="17" x14ac:dyDescent="0.2">
      <c r="A94" s="114"/>
      <c r="B94" s="115"/>
      <c r="C94" s="78" t="s">
        <v>3</v>
      </c>
      <c r="D94" s="41" t="s">
        <v>25</v>
      </c>
      <c r="E94" s="84"/>
      <c r="F94" s="87">
        <v>0.3</v>
      </c>
      <c r="G94" s="87"/>
      <c r="I94" s="21"/>
      <c r="J94" s="22"/>
      <c r="K94" s="22"/>
      <c r="L94" s="36"/>
    </row>
    <row r="95" spans="1:12" ht="18" thickBot="1" x14ac:dyDescent="0.25">
      <c r="A95" s="116"/>
      <c r="B95" s="117"/>
      <c r="C95" s="79" t="s">
        <v>3</v>
      </c>
      <c r="D95" s="44" t="s">
        <v>21</v>
      </c>
      <c r="E95" s="80"/>
      <c r="F95" s="81">
        <v>0.3</v>
      </c>
      <c r="G95" s="81"/>
      <c r="I95" s="19"/>
      <c r="J95" s="20"/>
      <c r="K95" s="20"/>
      <c r="L95" s="31"/>
    </row>
    <row r="96" spans="1:12" ht="16" x14ac:dyDescent="0.2">
      <c r="A96" s="118">
        <f>A85</f>
        <v>3</v>
      </c>
      <c r="B96" s="119">
        <f>B85+1</f>
        <v>5</v>
      </c>
      <c r="C96" s="58" t="s">
        <v>68</v>
      </c>
      <c r="D96" s="82" t="s">
        <v>26</v>
      </c>
      <c r="E96" s="57">
        <v>0.6</v>
      </c>
      <c r="F96" s="57"/>
      <c r="G96" s="57"/>
      <c r="I96" s="16"/>
      <c r="J96" s="17"/>
      <c r="K96" s="17"/>
      <c r="L96" s="29"/>
    </row>
    <row r="97" spans="1:12" ht="16" x14ac:dyDescent="0.2">
      <c r="A97" s="118"/>
      <c r="B97" s="119"/>
      <c r="C97" s="58" t="s">
        <v>53</v>
      </c>
      <c r="D97" s="82" t="s">
        <v>63</v>
      </c>
      <c r="E97" s="57"/>
      <c r="F97" s="57"/>
      <c r="G97" s="57"/>
      <c r="I97" s="25"/>
      <c r="J97" s="26"/>
      <c r="K97" s="26"/>
      <c r="L97" s="32"/>
    </row>
    <row r="98" spans="1:12" ht="16" x14ac:dyDescent="0.2">
      <c r="A98" s="118"/>
      <c r="B98" s="119"/>
      <c r="C98" s="58"/>
      <c r="D98" s="82" t="s">
        <v>64</v>
      </c>
      <c r="E98" s="57"/>
      <c r="F98" s="57"/>
      <c r="G98" s="57"/>
      <c r="I98" s="25"/>
      <c r="J98" s="26"/>
      <c r="K98" s="26"/>
      <c r="L98" s="32"/>
    </row>
    <row r="99" spans="1:12" ht="16" x14ac:dyDescent="0.2">
      <c r="A99" s="118"/>
      <c r="B99" s="119"/>
      <c r="C99" s="58"/>
      <c r="D99" s="82" t="s">
        <v>74</v>
      </c>
      <c r="E99" s="57"/>
      <c r="F99" s="57"/>
      <c r="G99" s="57"/>
      <c r="I99" s="25"/>
      <c r="J99" s="26"/>
      <c r="K99" s="26"/>
      <c r="L99" s="32"/>
    </row>
    <row r="100" spans="1:12" ht="16" x14ac:dyDescent="0.2">
      <c r="A100" s="110"/>
      <c r="B100" s="111"/>
      <c r="C100" s="5" t="s">
        <v>16</v>
      </c>
      <c r="D100" s="5" t="s">
        <v>36</v>
      </c>
      <c r="E100" s="57"/>
      <c r="F100" s="57"/>
      <c r="G100" s="57"/>
      <c r="I100" s="25"/>
      <c r="J100" s="26"/>
      <c r="K100" s="26"/>
      <c r="L100" s="32"/>
    </row>
    <row r="101" spans="1:12" ht="16" x14ac:dyDescent="0.2">
      <c r="A101" s="110"/>
      <c r="B101" s="111"/>
      <c r="C101" s="5" t="s">
        <v>9</v>
      </c>
      <c r="D101" s="5" t="s">
        <v>37</v>
      </c>
      <c r="E101" s="11"/>
      <c r="F101" s="11"/>
      <c r="G101" s="11"/>
      <c r="I101" s="18"/>
      <c r="J101" s="1"/>
      <c r="K101" s="1"/>
      <c r="L101" s="30"/>
    </row>
    <row r="102" spans="1:12" ht="16" x14ac:dyDescent="0.2">
      <c r="A102" s="110"/>
      <c r="B102" s="111"/>
      <c r="C102" s="5" t="s">
        <v>10</v>
      </c>
      <c r="D102" s="5" t="s">
        <v>38</v>
      </c>
      <c r="E102" s="11"/>
      <c r="F102" s="11"/>
      <c r="G102" s="11"/>
      <c r="I102" s="18"/>
      <c r="J102" s="1"/>
      <c r="K102" s="1"/>
      <c r="L102" s="30"/>
    </row>
    <row r="103" spans="1:12" ht="16" x14ac:dyDescent="0.2">
      <c r="A103" s="110"/>
      <c r="B103" s="111"/>
      <c r="C103" s="5" t="s">
        <v>11</v>
      </c>
      <c r="D103" s="5" t="s">
        <v>94</v>
      </c>
      <c r="E103" s="11"/>
      <c r="F103" s="86"/>
      <c r="G103" s="86"/>
      <c r="I103" s="18"/>
      <c r="J103" s="1"/>
      <c r="K103" s="1"/>
      <c r="L103" s="30"/>
    </row>
    <row r="104" spans="1:12" ht="17" x14ac:dyDescent="0.2">
      <c r="A104" s="114"/>
      <c r="B104" s="115"/>
      <c r="C104" s="78" t="s">
        <v>3</v>
      </c>
      <c r="D104" s="41" t="s">
        <v>76</v>
      </c>
      <c r="E104" s="84"/>
      <c r="F104" s="87">
        <v>0.3</v>
      </c>
      <c r="G104" s="87"/>
      <c r="I104" s="21"/>
      <c r="J104" s="22"/>
      <c r="K104" s="22"/>
      <c r="L104" s="36"/>
    </row>
    <row r="105" spans="1:12" ht="18" thickBot="1" x14ac:dyDescent="0.25">
      <c r="A105" s="116"/>
      <c r="B105" s="117"/>
      <c r="C105" s="79" t="s">
        <v>3</v>
      </c>
      <c r="D105" s="44" t="s">
        <v>65</v>
      </c>
      <c r="E105" s="80"/>
      <c r="F105" s="81">
        <v>0.3</v>
      </c>
      <c r="G105" s="81"/>
      <c r="I105" s="19"/>
      <c r="J105" s="20"/>
      <c r="K105" s="20"/>
      <c r="L105" s="31"/>
    </row>
    <row r="106" spans="1:12" ht="16" x14ac:dyDescent="0.2">
      <c r="A106" s="129">
        <f>A96</f>
        <v>3</v>
      </c>
      <c r="B106" s="130">
        <f>B96+1</f>
        <v>6</v>
      </c>
      <c r="C106" s="137" t="s">
        <v>72</v>
      </c>
      <c r="D106" s="52" t="s">
        <v>69</v>
      </c>
      <c r="E106" s="10">
        <v>0.6</v>
      </c>
      <c r="F106" s="10"/>
      <c r="G106" s="10"/>
      <c r="I106" s="16"/>
      <c r="J106" s="17"/>
      <c r="K106" s="17"/>
      <c r="L106" s="29"/>
    </row>
    <row r="107" spans="1:12" ht="16" x14ac:dyDescent="0.2">
      <c r="A107" s="118"/>
      <c r="B107" s="119"/>
      <c r="C107" s="58" t="s">
        <v>73</v>
      </c>
      <c r="D107" s="82" t="s">
        <v>70</v>
      </c>
      <c r="E107" s="57"/>
      <c r="F107" s="57"/>
      <c r="G107" s="57"/>
      <c r="I107" s="25"/>
      <c r="J107" s="26"/>
      <c r="K107" s="26"/>
      <c r="L107" s="32"/>
    </row>
    <row r="108" spans="1:12" ht="16" x14ac:dyDescent="0.2">
      <c r="A108" s="118"/>
      <c r="B108" s="119"/>
      <c r="C108" s="58"/>
      <c r="D108" s="82" t="s">
        <v>71</v>
      </c>
      <c r="E108" s="57"/>
      <c r="F108" s="57"/>
      <c r="G108" s="57"/>
      <c r="I108" s="25"/>
      <c r="J108" s="26"/>
      <c r="K108" s="26"/>
      <c r="L108" s="32"/>
    </row>
    <row r="109" spans="1:12" ht="16" x14ac:dyDescent="0.2">
      <c r="A109" s="118"/>
      <c r="B109" s="119"/>
      <c r="C109" s="58"/>
      <c r="D109" s="82" t="s">
        <v>30</v>
      </c>
      <c r="E109" s="57"/>
      <c r="F109" s="57"/>
      <c r="G109" s="57"/>
      <c r="I109" s="25"/>
      <c r="J109" s="26"/>
      <c r="K109" s="26"/>
      <c r="L109" s="32"/>
    </row>
    <row r="110" spans="1:12" ht="16" x14ac:dyDescent="0.2">
      <c r="A110" s="110"/>
      <c r="B110" s="111"/>
      <c r="C110" s="5" t="s">
        <v>16</v>
      </c>
      <c r="D110" s="5" t="s">
        <v>36</v>
      </c>
      <c r="E110" s="11"/>
      <c r="F110" s="11"/>
      <c r="G110" s="11"/>
      <c r="I110" s="18"/>
      <c r="J110" s="1"/>
      <c r="K110" s="1"/>
      <c r="L110" s="30"/>
    </row>
    <row r="111" spans="1:12" ht="16" x14ac:dyDescent="0.2">
      <c r="A111" s="110"/>
      <c r="B111" s="111"/>
      <c r="C111" s="5" t="s">
        <v>9</v>
      </c>
      <c r="D111" s="5" t="s">
        <v>37</v>
      </c>
      <c r="E111" s="11"/>
      <c r="F111" s="11"/>
      <c r="G111" s="11"/>
      <c r="I111" s="18"/>
      <c r="J111" s="1"/>
      <c r="K111" s="1"/>
      <c r="L111" s="30"/>
    </row>
    <row r="112" spans="1:12" ht="16" x14ac:dyDescent="0.2">
      <c r="A112" s="110"/>
      <c r="B112" s="111"/>
      <c r="C112" s="5" t="s">
        <v>10</v>
      </c>
      <c r="D112" s="5" t="s">
        <v>38</v>
      </c>
      <c r="E112" s="11"/>
      <c r="F112" s="11"/>
      <c r="G112" s="11"/>
      <c r="I112" s="18"/>
      <c r="J112" s="1"/>
      <c r="K112" s="1"/>
      <c r="L112" s="30"/>
    </row>
    <row r="113" spans="1:12" ht="17" thickBot="1" x14ac:dyDescent="0.25">
      <c r="A113" s="112"/>
      <c r="B113" s="113"/>
      <c r="C113" s="138" t="s">
        <v>11</v>
      </c>
      <c r="D113" s="5" t="s">
        <v>35</v>
      </c>
      <c r="E113" s="39"/>
      <c r="F113" s="39"/>
      <c r="G113" s="39"/>
      <c r="I113" s="19"/>
      <c r="J113" s="20"/>
      <c r="K113" s="20"/>
      <c r="L113" s="31"/>
    </row>
    <row r="114" spans="1:12" ht="16" x14ac:dyDescent="0.2">
      <c r="A114" s="100" t="e">
        <f>#REF!</f>
        <v>#REF!</v>
      </c>
      <c r="B114" s="101" t="e">
        <f>#REF!+1</f>
        <v>#REF!</v>
      </c>
      <c r="C114" s="4" t="s">
        <v>77</v>
      </c>
      <c r="D114" s="4" t="s">
        <v>78</v>
      </c>
      <c r="E114" s="10">
        <v>0.6</v>
      </c>
      <c r="F114" s="10"/>
      <c r="G114" s="10"/>
      <c r="I114" s="16"/>
      <c r="J114" s="17"/>
      <c r="K114" s="17"/>
      <c r="L114" s="29"/>
    </row>
    <row r="115" spans="1:12" ht="16" x14ac:dyDescent="0.2">
      <c r="A115" s="118"/>
      <c r="B115" s="119"/>
      <c r="C115" s="58" t="s">
        <v>53</v>
      </c>
      <c r="D115" s="56" t="s">
        <v>79</v>
      </c>
      <c r="E115" s="57"/>
      <c r="F115" s="57"/>
      <c r="G115" s="57"/>
      <c r="I115" s="25"/>
      <c r="J115" s="26"/>
      <c r="K115" s="26"/>
      <c r="L115" s="32"/>
    </row>
    <row r="116" spans="1:12" ht="16" x14ac:dyDescent="0.2">
      <c r="A116" s="118"/>
      <c r="B116" s="119"/>
      <c r="C116" s="58"/>
      <c r="D116" s="56" t="s">
        <v>80</v>
      </c>
      <c r="E116" s="57"/>
      <c r="F116" s="57"/>
      <c r="G116" s="57"/>
      <c r="I116" s="25"/>
      <c r="J116" s="26"/>
      <c r="K116" s="26"/>
      <c r="L116" s="32"/>
    </row>
    <row r="117" spans="1:12" ht="48" x14ac:dyDescent="0.2">
      <c r="A117" s="118"/>
      <c r="B117" s="119"/>
      <c r="C117" s="58"/>
      <c r="D117" s="56" t="s">
        <v>81</v>
      </c>
      <c r="E117" s="57"/>
      <c r="F117" s="57"/>
      <c r="G117" s="57"/>
      <c r="I117" s="25"/>
      <c r="J117" s="26"/>
      <c r="K117" s="26"/>
      <c r="L117" s="32"/>
    </row>
    <row r="118" spans="1:12" ht="16" x14ac:dyDescent="0.2">
      <c r="A118" s="110"/>
      <c r="B118" s="111"/>
      <c r="C118" s="5" t="s">
        <v>16</v>
      </c>
      <c r="D118" s="5" t="s">
        <v>36</v>
      </c>
      <c r="E118" s="11"/>
      <c r="F118" s="11"/>
      <c r="G118" s="11"/>
      <c r="I118" s="18"/>
      <c r="J118" s="1"/>
      <c r="K118" s="1"/>
      <c r="L118" s="30"/>
    </row>
    <row r="119" spans="1:12" ht="16" x14ac:dyDescent="0.2">
      <c r="A119" s="110"/>
      <c r="B119" s="111"/>
      <c r="C119" s="5" t="s">
        <v>9</v>
      </c>
      <c r="D119" s="5" t="s">
        <v>37</v>
      </c>
      <c r="E119" s="11"/>
      <c r="F119" s="11"/>
      <c r="G119" s="11"/>
      <c r="I119" s="18"/>
      <c r="J119" s="1"/>
      <c r="K119" s="1"/>
      <c r="L119" s="30"/>
    </row>
    <row r="120" spans="1:12" ht="16" x14ac:dyDescent="0.2">
      <c r="A120" s="110"/>
      <c r="B120" s="111"/>
      <c r="C120" s="5" t="s">
        <v>10</v>
      </c>
      <c r="D120" s="5" t="s">
        <v>38</v>
      </c>
      <c r="E120" s="11"/>
      <c r="F120" s="11"/>
      <c r="G120" s="11"/>
      <c r="I120" s="18"/>
      <c r="J120" s="1"/>
      <c r="K120" s="1"/>
      <c r="L120" s="30"/>
    </row>
    <row r="121" spans="1:12" ht="17" thickBot="1" x14ac:dyDescent="0.25">
      <c r="A121" s="112"/>
      <c r="B121" s="113"/>
      <c r="C121" s="138" t="s">
        <v>11</v>
      </c>
      <c r="D121" s="138" t="s">
        <v>35</v>
      </c>
      <c r="E121" s="39"/>
      <c r="F121" s="39"/>
      <c r="G121" s="39"/>
      <c r="I121" s="19"/>
      <c r="J121" s="20"/>
      <c r="K121" s="20"/>
      <c r="L121" s="31"/>
    </row>
    <row r="122" spans="1:12" x14ac:dyDescent="0.2">
      <c r="A122" s="3"/>
      <c r="B122" s="3"/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Vorlage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Volkan Demir</dc:creator>
  <cp:lastModifiedBy>Demir,  Volkan (BZZ)</cp:lastModifiedBy>
  <dcterms:created xsi:type="dcterms:W3CDTF">2015-06-05T18:19:34Z</dcterms:created>
  <dcterms:modified xsi:type="dcterms:W3CDTF">2025-11-27T15:12:05Z</dcterms:modified>
</cp:coreProperties>
</file>