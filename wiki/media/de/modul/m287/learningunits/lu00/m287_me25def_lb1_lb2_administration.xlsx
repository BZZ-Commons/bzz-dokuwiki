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bzzch-my.sharepoint.com/personal/volkan_demir_bzz_ch/Documents/--- Latest Version ---/M287 - 2026FR/"/>
    </mc:Choice>
  </mc:AlternateContent>
  <xr:revisionPtr revIDLastSave="1473" documentId="11_AD4DB114E441178AC67DF48B7655F0EA693EDF1A" xr6:coauthVersionLast="47" xr6:coauthVersionMax="47" xr10:uidLastSave="{5096B6AB-AFC8-4479-969B-67E12D236128}"/>
  <bookViews>
    <workbookView xWindow="-96" yWindow="-96" windowWidth="23232" windowHeight="12432" activeTab="2" xr2:uid="{00000000-000D-0000-FFFF-FFFF00000000}"/>
  </bookViews>
  <sheets>
    <sheet name="LB1-Termine" sheetId="1" r:id="rId1"/>
    <sheet name="LB2-Termine" sheetId="2" r:id="rId2"/>
    <sheet name="LB1_Bewertungsraster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6" i="6" l="1"/>
  <c r="L68" i="6" s="1"/>
  <c r="J66" i="6"/>
  <c r="J68" i="6" s="1"/>
  <c r="M58" i="6"/>
  <c r="K58" i="6"/>
  <c r="M52" i="6"/>
  <c r="K52" i="6"/>
  <c r="M40" i="6"/>
  <c r="K40" i="6"/>
  <c r="M36" i="6"/>
  <c r="K36" i="6"/>
  <c r="M22" i="6"/>
  <c r="K22" i="6"/>
  <c r="M15" i="6"/>
  <c r="K15" i="6"/>
  <c r="L56" i="6"/>
  <c r="M5" i="6"/>
  <c r="A16" i="6"/>
  <c r="A23" i="6" s="1"/>
  <c r="A37" i="6" s="1"/>
  <c r="B62" i="6"/>
  <c r="B65" i="6" s="1"/>
  <c r="H58" i="6"/>
  <c r="B58" i="6"/>
  <c r="A58" i="6"/>
  <c r="E56" i="6"/>
  <c r="B52" i="6"/>
  <c r="A52" i="6"/>
  <c r="B40" i="6"/>
  <c r="A40" i="6"/>
  <c r="B36" i="6"/>
  <c r="A36" i="6"/>
  <c r="B22" i="6"/>
  <c r="A22" i="6"/>
  <c r="B15" i="6"/>
  <c r="A15" i="6"/>
  <c r="D15" i="6"/>
  <c r="B6" i="6" l="1"/>
  <c r="B44" i="6" l="1"/>
  <c r="B47" i="6" s="1"/>
  <c r="B27" i="6"/>
  <c r="B30" i="6" s="1"/>
  <c r="B33" i="6" s="1"/>
  <c r="H22" i="6"/>
  <c r="H36" i="6" s="1"/>
  <c r="H40" i="6" s="1"/>
  <c r="H52" i="6" s="1"/>
  <c r="G22" i="6"/>
  <c r="G36" i="6" s="1"/>
  <c r="G40" i="6" s="1"/>
  <c r="G52" i="6" s="1"/>
  <c r="F22" i="6"/>
  <c r="F36" i="6" s="1"/>
  <c r="F40" i="6" s="1"/>
  <c r="F52" i="6" s="1"/>
  <c r="E22" i="6"/>
  <c r="B19" i="6"/>
  <c r="H15" i="6"/>
  <c r="G15" i="6"/>
  <c r="F15" i="6"/>
  <c r="E15" i="6"/>
  <c r="D22" i="6"/>
  <c r="D36" i="6" s="1"/>
  <c r="D40" i="6" s="1"/>
  <c r="D52" i="6" s="1"/>
  <c r="D58" i="6" s="1"/>
  <c r="L5" i="6"/>
  <c r="J5" i="6"/>
  <c r="J52" i="6" l="1"/>
  <c r="J15" i="6"/>
  <c r="J36" i="6"/>
  <c r="J58" i="6"/>
  <c r="J40" i="6"/>
  <c r="J22" i="6"/>
  <c r="L58" i="6"/>
  <c r="L40" i="6"/>
  <c r="L22" i="6"/>
  <c r="L50" i="6" s="1"/>
  <c r="L36" i="6"/>
  <c r="L52" i="6"/>
  <c r="L15" i="6"/>
  <c r="J50" i="6"/>
  <c r="E36" i="6"/>
  <c r="E40" i="6" l="1"/>
  <c r="E52" i="6" s="1"/>
  <c r="E50" i="6" l="1"/>
  <c r="M2" i="6"/>
  <c r="E62" i="6" l="1"/>
  <c r="E59" i="6"/>
  <c r="D2" i="6"/>
  <c r="E65" i="6"/>
  <c r="G2" i="6" l="1"/>
  <c r="H2" i="6"/>
  <c r="E2" i="6"/>
  <c r="M3" i="6" s="1"/>
  <c r="F2" i="6"/>
  <c r="E66" i="6"/>
  <c r="E68" i="6" s="1"/>
  <c r="I33" i="2"/>
  <c r="F34" i="2"/>
  <c r="F38" i="2" s="1"/>
  <c r="I40" i="2"/>
  <c r="G40" i="2"/>
  <c r="G39" i="2"/>
  <c r="G38" i="2"/>
  <c r="I37" i="2"/>
  <c r="G37" i="2"/>
  <c r="G36" i="2"/>
  <c r="G35" i="2"/>
  <c r="G34" i="2"/>
  <c r="B34" i="2"/>
  <c r="B38" i="2" s="1"/>
  <c r="G33" i="2"/>
  <c r="I32" i="2"/>
  <c r="G32" i="2"/>
  <c r="G31" i="2"/>
  <c r="C31" i="2"/>
  <c r="C32" i="2" s="1"/>
  <c r="C33" i="2" s="1"/>
  <c r="C34" i="2" s="1"/>
  <c r="C35" i="2" s="1"/>
  <c r="C36" i="2" s="1"/>
  <c r="C37" i="2" s="1"/>
  <c r="C38" i="2" s="1"/>
  <c r="C39" i="2" s="1"/>
  <c r="C40" i="2" s="1"/>
  <c r="H30" i="2"/>
  <c r="F31" i="2" s="1"/>
  <c r="H31" i="2" s="1"/>
  <c r="F32" i="2" s="1"/>
  <c r="H32" i="2" s="1"/>
  <c r="F33" i="2" s="1"/>
  <c r="H33" i="2" s="1"/>
  <c r="G30" i="2"/>
  <c r="I23" i="2"/>
  <c r="G27" i="2"/>
  <c r="I26" i="2"/>
  <c r="G26" i="2"/>
  <c r="G25" i="2"/>
  <c r="G24" i="2"/>
  <c r="H24" i="2" s="1"/>
  <c r="F25" i="2" s="1"/>
  <c r="G23" i="2"/>
  <c r="G22" i="2"/>
  <c r="G21" i="2"/>
  <c r="G20" i="2"/>
  <c r="H20" i="2" s="1"/>
  <c r="F21" i="2" s="1"/>
  <c r="B20" i="2"/>
  <c r="B24" i="2" s="1"/>
  <c r="G19" i="2"/>
  <c r="I18" i="2"/>
  <c r="G18" i="2"/>
  <c r="G17" i="2"/>
  <c r="C17" i="2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G16" i="2"/>
  <c r="H16" i="2" s="1"/>
  <c r="F17" i="2" s="1"/>
  <c r="G13" i="2"/>
  <c r="I12" i="2"/>
  <c r="G12" i="2"/>
  <c r="G11" i="2"/>
  <c r="G10" i="2"/>
  <c r="H10" i="2" s="1"/>
  <c r="F11" i="2" s="1"/>
  <c r="G9" i="2"/>
  <c r="G8" i="2"/>
  <c r="G7" i="2"/>
  <c r="G6" i="2"/>
  <c r="H6" i="2" s="1"/>
  <c r="F7" i="2" s="1"/>
  <c r="G5" i="2"/>
  <c r="B6" i="2"/>
  <c r="B10" i="2" s="1"/>
  <c r="I4" i="2"/>
  <c r="G4" i="2"/>
  <c r="G3" i="2"/>
  <c r="C3" i="2"/>
  <c r="C4" i="2" s="1"/>
  <c r="C5" i="2" s="1"/>
  <c r="G2" i="2"/>
  <c r="H2" i="2" s="1"/>
  <c r="F3" i="2" s="1"/>
  <c r="G35" i="1"/>
  <c r="G34" i="1"/>
  <c r="I33" i="1"/>
  <c r="I34" i="1" s="1"/>
  <c r="G33" i="1"/>
  <c r="G32" i="1"/>
  <c r="G31" i="1"/>
  <c r="H31" i="1" s="1"/>
  <c r="F32" i="1" s="1"/>
  <c r="G30" i="1"/>
  <c r="G29" i="1"/>
  <c r="I28" i="1"/>
  <c r="I29" i="1" s="1"/>
  <c r="G28" i="1"/>
  <c r="G27" i="1"/>
  <c r="C27" i="1"/>
  <c r="C28" i="1" s="1"/>
  <c r="C29" i="1" s="1"/>
  <c r="C30" i="1" s="1"/>
  <c r="C31" i="1" s="1"/>
  <c r="C32" i="1" s="1"/>
  <c r="C33" i="1" s="1"/>
  <c r="C34" i="1" s="1"/>
  <c r="C35" i="1" s="1"/>
  <c r="G26" i="1"/>
  <c r="H26" i="1" s="1"/>
  <c r="F27" i="1" s="1"/>
  <c r="B7" i="1"/>
  <c r="G23" i="1"/>
  <c r="G22" i="1"/>
  <c r="I21" i="1"/>
  <c r="I22" i="1" s="1"/>
  <c r="G21" i="1"/>
  <c r="G20" i="1"/>
  <c r="G19" i="1"/>
  <c r="H19" i="1" s="1"/>
  <c r="F20" i="1" s="1"/>
  <c r="G18" i="1"/>
  <c r="G17" i="1"/>
  <c r="I16" i="1"/>
  <c r="I17" i="1" s="1"/>
  <c r="G16" i="1"/>
  <c r="G15" i="1"/>
  <c r="C15" i="1"/>
  <c r="C16" i="1" s="1"/>
  <c r="C17" i="1" s="1"/>
  <c r="C18" i="1" s="1"/>
  <c r="C19" i="1" s="1"/>
  <c r="C20" i="1" s="1"/>
  <c r="C21" i="1" s="1"/>
  <c r="C22" i="1" s="1"/>
  <c r="C23" i="1" s="1"/>
  <c r="G14" i="1"/>
  <c r="H14" i="1" s="1"/>
  <c r="F15" i="1" s="1"/>
  <c r="G11" i="1"/>
  <c r="I9" i="1"/>
  <c r="I10" i="1" s="1"/>
  <c r="I4" i="1"/>
  <c r="I5" i="1" s="1"/>
  <c r="G6" i="1"/>
  <c r="G10" i="1"/>
  <c r="G9" i="1"/>
  <c r="G8" i="1"/>
  <c r="G7" i="1"/>
  <c r="H7" i="1" s="1"/>
  <c r="F8" i="1" s="1"/>
  <c r="G5" i="1"/>
  <c r="C3" i="1"/>
  <c r="C4" i="1" s="1"/>
  <c r="C5" i="1" s="1"/>
  <c r="G2" i="1"/>
  <c r="H2" i="1" s="1"/>
  <c r="F3" i="1" s="1"/>
  <c r="G4" i="1"/>
  <c r="G3" i="1"/>
  <c r="H17" i="2" l="1"/>
  <c r="F18" i="2" s="1"/>
  <c r="H18" i="2" s="1"/>
  <c r="F19" i="2" s="1"/>
  <c r="H19" i="2" s="1"/>
  <c r="H34" i="2"/>
  <c r="F35" i="2" s="1"/>
  <c r="H35" i="2" s="1"/>
  <c r="F36" i="2" s="1"/>
  <c r="H36" i="2" s="1"/>
  <c r="F37" i="2" s="1"/>
  <c r="H37" i="2" s="1"/>
  <c r="H38" i="2"/>
  <c r="F39" i="2" s="1"/>
  <c r="H39" i="2" s="1"/>
  <c r="F40" i="2" s="1"/>
  <c r="H40" i="2" s="1"/>
  <c r="H25" i="2"/>
  <c r="F26" i="2" s="1"/>
  <c r="H26" i="2" s="1"/>
  <c r="F27" i="2" s="1"/>
  <c r="H27" i="2" s="1"/>
  <c r="H21" i="2"/>
  <c r="F22" i="2" s="1"/>
  <c r="H22" i="2" s="1"/>
  <c r="F23" i="2" s="1"/>
  <c r="H23" i="2" s="1"/>
  <c r="H11" i="2"/>
  <c r="F12" i="2" s="1"/>
  <c r="H12" i="2" s="1"/>
  <c r="F13" i="2" s="1"/>
  <c r="H13" i="2" s="1"/>
  <c r="H7" i="2"/>
  <c r="F8" i="2" s="1"/>
  <c r="H8" i="2" s="1"/>
  <c r="F9" i="2" s="1"/>
  <c r="H9" i="2" s="1"/>
  <c r="H3" i="2"/>
  <c r="F4" i="2" s="1"/>
  <c r="H4" i="2" s="1"/>
  <c r="F5" i="2" s="1"/>
  <c r="H5" i="2" s="1"/>
  <c r="C6" i="2"/>
  <c r="H27" i="1"/>
  <c r="F28" i="1" s="1"/>
  <c r="H28" i="1" s="1"/>
  <c r="F29" i="1" s="1"/>
  <c r="H29" i="1" s="1"/>
  <c r="F30" i="1" s="1"/>
  <c r="H30" i="1" s="1"/>
  <c r="H32" i="1"/>
  <c r="F33" i="1" s="1"/>
  <c r="H33" i="1" s="1"/>
  <c r="F34" i="1" s="1"/>
  <c r="H34" i="1" s="1"/>
  <c r="F35" i="1" s="1"/>
  <c r="H35" i="1" s="1"/>
  <c r="H20" i="1"/>
  <c r="F21" i="1" s="1"/>
  <c r="H21" i="1" s="1"/>
  <c r="F22" i="1" s="1"/>
  <c r="H22" i="1" s="1"/>
  <c r="F23" i="1" s="1"/>
  <c r="H23" i="1" s="1"/>
  <c r="H15" i="1"/>
  <c r="F16" i="1" s="1"/>
  <c r="H16" i="1" s="1"/>
  <c r="F17" i="1" s="1"/>
  <c r="H17" i="1" s="1"/>
  <c r="F18" i="1" s="1"/>
  <c r="H18" i="1" s="1"/>
  <c r="C6" i="1"/>
  <c r="C7" i="1" s="1"/>
  <c r="C8" i="1" s="1"/>
  <c r="C9" i="1" s="1"/>
  <c r="C10" i="1" s="1"/>
  <c r="C11" i="1" s="1"/>
  <c r="H8" i="1"/>
  <c r="F9" i="1" s="1"/>
  <c r="H9" i="1" s="1"/>
  <c r="F10" i="1" s="1"/>
  <c r="H10" i="1" s="1"/>
  <c r="F11" i="1" s="1"/>
  <c r="H11" i="1" s="1"/>
  <c r="H3" i="1"/>
  <c r="F4" i="1" s="1"/>
  <c r="H4" i="1" s="1"/>
  <c r="F5" i="1" s="1"/>
  <c r="H5" i="1" s="1"/>
  <c r="F6" i="1" s="1"/>
  <c r="H6" i="1" s="1"/>
  <c r="C7" i="2" l="1"/>
  <c r="C8" i="2" s="1"/>
  <c r="C9" i="2" s="1"/>
  <c r="C10" i="2" s="1"/>
  <c r="C11" i="2" s="1"/>
  <c r="C12" i="2" s="1"/>
  <c r="C13" i="2" s="1"/>
  <c r="B9" i="6" l="1"/>
  <c r="B12" i="6" l="1"/>
  <c r="A41" i="6" l="1"/>
  <c r="A53" i="6" s="1"/>
  <c r="A59" i="6" s="1"/>
  <c r="J56" i="6" l="1"/>
  <c r="K2" i="6" s="1"/>
  <c r="K3" i="6" s="1"/>
</calcChain>
</file>

<file path=xl/sharedStrings.xml><?xml version="1.0" encoding="utf-8"?>
<sst xmlns="http://schemas.openxmlformats.org/spreadsheetml/2006/main" count="230" uniqueCount="121">
  <si>
    <t>Klasse</t>
  </si>
  <si>
    <t>Start</t>
  </si>
  <si>
    <t>Dauer</t>
  </si>
  <si>
    <t>Ende</t>
  </si>
  <si>
    <t>Puffer</t>
  </si>
  <si>
    <t>ME25f</t>
  </si>
  <si>
    <t>Datum</t>
  </si>
  <si>
    <t>Name</t>
  </si>
  <si>
    <t>Vorname</t>
  </si>
  <si>
    <t>09.04.26</t>
  </si>
  <si>
    <t>ME25e</t>
  </si>
  <si>
    <t>Teams</t>
  </si>
  <si>
    <t>16.04.26</t>
  </si>
  <si>
    <t>Kommentar</t>
  </si>
  <si>
    <t>Einzelperson</t>
  </si>
  <si>
    <t>2er</t>
  </si>
  <si>
    <t>18.06.26</t>
  </si>
  <si>
    <t>Einzel</t>
  </si>
  <si>
    <t>ME25d</t>
  </si>
  <si>
    <t>25.06.26</t>
  </si>
  <si>
    <t>§</t>
  </si>
  <si>
    <t>07.07.26</t>
  </si>
  <si>
    <t>Kriterien</t>
  </si>
  <si>
    <t>Bonus</t>
  </si>
  <si>
    <t>Formales</t>
  </si>
  <si>
    <t>LuL1</t>
  </si>
  <si>
    <t>LuL2</t>
  </si>
  <si>
    <t>ME25</t>
  </si>
  <si>
    <t>Codestruktur</t>
  </si>
  <si>
    <t>Note</t>
  </si>
  <si>
    <t>Summe</t>
  </si>
  <si>
    <t>Kommentierung</t>
  </si>
  <si>
    <t>Die Menge an Kommentaren ist angemessen (Best-Practise).</t>
  </si>
  <si>
    <t>Files haben einen substantiellen Header (Best-Practise).</t>
  </si>
  <si>
    <t>Cooperation</t>
  </si>
  <si>
    <t>Die Teilnehmenden können einen Live-Sharing-Link verschicken.</t>
  </si>
  <si>
    <t xml:space="preserve">Live-Sharing kann angewendet werden. </t>
  </si>
  <si>
    <t>TEAMS-Sharing gelingt reibungslos.</t>
  </si>
  <si>
    <t>M287_LB1</t>
  </si>
  <si>
    <t>10.04.26</t>
  </si>
  <si>
    <t>Für None-Native-English-speakers: Demonstration ist auf Englisch (3 Punkte) = ca. 1/4 Note</t>
  </si>
  <si>
    <t>Für None-Native-English-speakers: Diskussion ist auf Englisch (3 Punkte) = ca. 1/4 Note</t>
  </si>
  <si>
    <t>Malus</t>
  </si>
  <si>
    <t>Zwischensumme</t>
  </si>
  <si>
    <t>+++</t>
  </si>
  <si>
    <t>++</t>
  </si>
  <si>
    <t>+</t>
  </si>
  <si>
    <t>-</t>
  </si>
  <si>
    <t>LU02: CSS-Selektoren</t>
  </si>
  <si>
    <t>LU03: Box-Modell</t>
  </si>
  <si>
    <t>LU04: Display</t>
  </si>
  <si>
    <t>Hinweis: Für Native-English-Speakers ist die Wahl zwischen Hochdeutsch und English notenneutral.</t>
  </si>
  <si>
    <t>Nicht-Anwendung der Schriftsprache (ab 2/3, ca. 50%, ca. 1/3)</t>
  </si>
  <si>
    <t>LU01: Verweise &amp; URL-Aufbau</t>
  </si>
  <si>
    <t>Aufbau</t>
  </si>
  <si>
    <t>Einführung</t>
  </si>
  <si>
    <t>Element, Klassen, ID</t>
  </si>
  <si>
    <t>Spezielle Selektoren</t>
  </si>
  <si>
    <t>Pseudo-Klassen</t>
  </si>
  <si>
    <t>Box-Modell</t>
  </si>
  <si>
    <t>Display</t>
  </si>
  <si>
    <t>Flexbox</t>
  </si>
  <si>
    <t>Grid</t>
  </si>
  <si>
    <t>Verweis &amp; Anker</t>
  </si>
  <si>
    <t>#.#</t>
  </si>
  <si>
    <t>#</t>
  </si>
  <si>
    <t>Codes aus dem Unterricht liegen nicht vor bzw. sind unstrukturiert/unlogisch abgelegt oder benannt.</t>
  </si>
  <si>
    <t>Tritt verspätet dem TEAMS-Call bei (Ausnahme höhere Gewalt).</t>
  </si>
  <si>
    <t xml:space="preserve">Bei Beginn des Fachgespräches ist der der Codeeditor nicht parat bzw. gestartet </t>
  </si>
  <si>
    <t>Bili</t>
  </si>
  <si>
    <t>Schriftsprache - bis 10%</t>
  </si>
  <si>
    <t>---</t>
  </si>
  <si>
    <t>--</t>
  </si>
  <si>
    <t>Die eigene Entwicklungsumgebung unsicher oder ineffizient verwendet.</t>
  </si>
  <si>
    <t>Die benötigten Files können nur mit Wartezeiten gefunden werden.</t>
  </si>
  <si>
    <t>Der Wechsel zwischen Codierung und Ausführung  geschieht ineffektiv oder ineffizient.</t>
  </si>
  <si>
    <t>Variablennamen sind gemäss Best-Practise.</t>
  </si>
  <si>
    <t>Sauber getrennte Bereiche, nachvollziehbare Reihenfolge, sinnvolle Gruppierung.</t>
  </si>
  <si>
    <t>Wiederverwendbarkeit von Code.</t>
  </si>
  <si>
    <t>Klassen sind aussagekräftig kommentiert.</t>
  </si>
  <si>
    <t>Die Syntax und die Bestandteile können genannt und dargelegt werden.</t>
  </si>
  <si>
    <t>Die im Unterricht besprochenen Protokolle für eine URL können dargelegt werden.</t>
  </si>
  <si>
    <t xml:space="preserve">Relative und absolute Pfade können am eigenen Code erklärt und angewendet werden. </t>
  </si>
  <si>
    <t>Verweise auf Webseiten können nach Vorgaben gesetzt und Eigenschaften manipuliert werden.</t>
  </si>
  <si>
    <t>Relative und absolute Verweise können erklärt und anwendet werden.</t>
  </si>
  <si>
    <t>Lokale Verweise könne darlegt und angewendet werden.</t>
  </si>
  <si>
    <t>Kann Selektoren anhand der Eigenschaften und Werte deklarieren.</t>
  </si>
  <si>
    <t>Kann CSS-Quellcode nach Best-Practise kommentieren.</t>
  </si>
  <si>
    <t>Der Aufbau und die die  Bedeutung von CSS-Selektoren können in eigenen Worten erklärt und im Code aufgezeigt werden.</t>
  </si>
  <si>
    <t>Kann Arten und Klassen von Selektoren nennen und erkären.</t>
  </si>
  <si>
    <t>kann HTML-Elemente mit dem Typselektor ansprechen.</t>
  </si>
  <si>
    <t>Kann Klassenselektoren/ID-Selektoren erläutern und anwenden.</t>
  </si>
  <si>
    <t>Kann die im Unterricht besprochenen Spezial-Selektoren erklären und die Anwendung am eigenen Code aufzeigen.</t>
  </si>
  <si>
    <t>Kann Attributselektor deren Attributwerte anwenden.</t>
  </si>
  <si>
    <t>Kann Attributselektor mit einem bestimmten Teilwert anwenden.</t>
  </si>
  <si>
    <t>Kann erklären was Pseudo-Klassen sind und kann diese für HTML-Manipulation gezielt einsetzten.</t>
  </si>
  <si>
    <t>Kann die im Unterricht besprochenen Spezialklassen nach Vorgaben anwenden.</t>
  </si>
  <si>
    <t>Kann die wichtigsten 2 Boxmodelle nennen und erklären.</t>
  </si>
  <si>
    <t>Kann das erste Boxmodell anwenden.</t>
  </si>
  <si>
    <t>kann das zweite Boxmodell anwenden.</t>
  </si>
  <si>
    <t>Kann die im Unterricht besprochenen Werte für die CSS-Anweisung "display" nennen und erklären.</t>
  </si>
  <si>
    <t xml:space="preserve">kann die im Unterricht besprochenen Werte für die CSS-Anweisung "display" im eigenen Code darlegen. </t>
  </si>
  <si>
    <t>Kann die im Unterricht besprochenen Werte für die CSS-Anweisung "display" anwenden.</t>
  </si>
  <si>
    <t>Kann das Grundkonzept des Laymoutmodells "Flexbox" erklären und am eigenen Code demonstriern.</t>
  </si>
  <si>
    <t>Kann die wichtigsten Eigenschaften des Containers nennen, erläutern und anwenden.</t>
  </si>
  <si>
    <t>Kann die wichtigsten Eigenschaften des Items nennen, erläutern und anwenden.</t>
  </si>
  <si>
    <t>Kann das Grundkonzept des Laymoutmodells "Grid" erklären und am eigenen Code demonstriern.</t>
  </si>
  <si>
    <t>Kann die wichtigsten Eigenschaften des Layouts nennen, erläutern und anwenden.</t>
  </si>
  <si>
    <t>Kann die wichtigsten Areas des Layouts nennen, erläutern und anwenden.</t>
  </si>
  <si>
    <t>PKT</t>
  </si>
  <si>
    <t>Kommentare</t>
  </si>
  <si>
    <t xml:space="preserve">Punkte </t>
  </si>
  <si>
    <t>für 6.0</t>
  </si>
  <si>
    <t>für 4.0</t>
  </si>
  <si>
    <t>für 5.0</t>
  </si>
  <si>
    <t>für 3.0</t>
  </si>
  <si>
    <t>für 2.0</t>
  </si>
  <si>
    <t>Vorbereitung - bis 5%</t>
  </si>
  <si>
    <t>Entwicklungsumgebung - bis 5%</t>
  </si>
  <si>
    <t>Kann die im Unterricht besprochenen Spezialklassen nennen und ihr Verhalten erklären.</t>
  </si>
  <si>
    <t>Kann externe und interne CSS korrekt einbinden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</si>
</sst>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dd\.mm\.yy;@" x16r2:formatCode16="[$-gsw-CH,1]dd\.mm\.yy;@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3F3F3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3F3F3F"/>
      </right>
      <top/>
      <bottom/>
      <diagonal/>
    </border>
    <border>
      <left style="thin">
        <color rgb="FF3F3F3F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3F3F3F"/>
      </right>
      <top/>
      <bottom style="medium">
        <color indexed="64"/>
      </bottom>
      <diagonal/>
    </border>
    <border>
      <left style="thin">
        <color rgb="FF3F3F3F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7" fillId="6" borderId="13" applyNumberFormat="0" applyAlignment="0" applyProtection="0"/>
  </cellStyleXfs>
  <cellXfs count="219">
    <xf numFmtId="0" fontId="0" fillId="0" borderId="0" xfId="0"/>
    <xf numFmtId="20" fontId="0" fillId="0" borderId="0" xfId="0" applyNumberFormat="1"/>
    <xf numFmtId="164" fontId="0" fillId="0" borderId="0" xfId="0" applyNumberFormat="1"/>
    <xf numFmtId="164" fontId="1" fillId="3" borderId="1" xfId="2" applyNumberFormat="1" applyFont="1" applyBorder="1"/>
    <xf numFmtId="0" fontId="1" fillId="3" borderId="1" xfId="2" applyFont="1" applyBorder="1"/>
    <xf numFmtId="0" fontId="0" fillId="0" borderId="0" xfId="0" applyAlignment="1">
      <alignment horizontal="center"/>
    </xf>
    <xf numFmtId="0" fontId="1" fillId="3" borderId="1" xfId="2" applyFont="1" applyBorder="1" applyAlignment="1">
      <alignment horizontal="center"/>
    </xf>
    <xf numFmtId="164" fontId="1" fillId="3" borderId="2" xfId="2" applyNumberFormat="1" applyFont="1" applyBorder="1"/>
    <xf numFmtId="164" fontId="1" fillId="3" borderId="3" xfId="2" applyNumberFormat="1" applyFont="1" applyBorder="1"/>
    <xf numFmtId="0" fontId="1" fillId="3" borderId="3" xfId="2" applyFont="1" applyBorder="1" applyAlignment="1">
      <alignment horizontal="center"/>
    </xf>
    <xf numFmtId="0" fontId="1" fillId="3" borderId="3" xfId="2" applyFont="1" applyBorder="1"/>
    <xf numFmtId="20" fontId="1" fillId="3" borderId="4" xfId="2" applyNumberFormat="1" applyFont="1" applyBorder="1"/>
    <xf numFmtId="164" fontId="1" fillId="3" borderId="5" xfId="2" applyNumberFormat="1" applyFont="1" applyBorder="1"/>
    <xf numFmtId="20" fontId="1" fillId="3" borderId="6" xfId="2" applyNumberFormat="1" applyFont="1" applyBorder="1"/>
    <xf numFmtId="164" fontId="1" fillId="3" borderId="7" xfId="2" applyNumberFormat="1" applyFont="1" applyBorder="1"/>
    <xf numFmtId="164" fontId="1" fillId="3" borderId="8" xfId="2" applyNumberFormat="1" applyFont="1" applyBorder="1"/>
    <xf numFmtId="0" fontId="1" fillId="3" borderId="8" xfId="2" applyFont="1" applyBorder="1" applyAlignment="1">
      <alignment horizontal="center"/>
    </xf>
    <xf numFmtId="0" fontId="1" fillId="3" borderId="8" xfId="2" applyFont="1" applyBorder="1"/>
    <xf numFmtId="20" fontId="1" fillId="3" borderId="9" xfId="2" applyNumberFormat="1" applyFont="1" applyBorder="1"/>
    <xf numFmtId="0" fontId="5" fillId="5" borderId="10" xfId="0" applyFont="1" applyFill="1" applyBorder="1"/>
    <xf numFmtId="0" fontId="5" fillId="5" borderId="11" xfId="0" applyFont="1" applyFill="1" applyBorder="1"/>
    <xf numFmtId="0" fontId="5" fillId="5" borderId="11" xfId="0" applyFont="1" applyFill="1" applyBorder="1" applyAlignment="1">
      <alignment horizontal="center"/>
    </xf>
    <xf numFmtId="0" fontId="5" fillId="5" borderId="12" xfId="0" applyFont="1" applyFill="1" applyBorder="1"/>
    <xf numFmtId="164" fontId="1" fillId="4" borderId="2" xfId="3" applyNumberFormat="1" applyFont="1" applyBorder="1"/>
    <xf numFmtId="164" fontId="1" fillId="4" borderId="3" xfId="3" applyNumberFormat="1" applyFont="1" applyBorder="1"/>
    <xf numFmtId="0" fontId="1" fillId="4" borderId="3" xfId="3" applyFont="1" applyBorder="1" applyAlignment="1">
      <alignment horizontal="center"/>
    </xf>
    <xf numFmtId="0" fontId="1" fillId="4" borderId="3" xfId="3" applyFont="1" applyBorder="1"/>
    <xf numFmtId="20" fontId="1" fillId="4" borderId="4" xfId="3" applyNumberFormat="1" applyFont="1" applyBorder="1"/>
    <xf numFmtId="164" fontId="1" fillId="4" borderId="5" xfId="3" applyNumberFormat="1" applyFont="1" applyBorder="1"/>
    <xf numFmtId="164" fontId="1" fillId="4" borderId="1" xfId="3" applyNumberFormat="1" applyFont="1" applyBorder="1"/>
    <xf numFmtId="0" fontId="1" fillId="4" borderId="1" xfId="3" applyFont="1" applyBorder="1" applyAlignment="1">
      <alignment horizontal="center"/>
    </xf>
    <xf numFmtId="0" fontId="1" fillId="4" borderId="1" xfId="3" applyFont="1" applyBorder="1"/>
    <xf numFmtId="20" fontId="1" fillId="4" borderId="6" xfId="3" applyNumberFormat="1" applyFont="1" applyBorder="1"/>
    <xf numFmtId="164" fontId="1" fillId="4" borderId="7" xfId="3" applyNumberFormat="1" applyFont="1" applyBorder="1"/>
    <xf numFmtId="164" fontId="1" fillId="4" borderId="8" xfId="3" applyNumberFormat="1" applyFont="1" applyBorder="1"/>
    <xf numFmtId="0" fontId="1" fillId="4" borderId="8" xfId="3" applyFont="1" applyBorder="1" applyAlignment="1">
      <alignment horizontal="center"/>
    </xf>
    <xf numFmtId="0" fontId="1" fillId="4" borderId="8" xfId="3" applyFont="1" applyBorder="1"/>
    <xf numFmtId="20" fontId="1" fillId="4" borderId="9" xfId="3" applyNumberFormat="1" applyFont="1" applyBorder="1"/>
    <xf numFmtId="0" fontId="1" fillId="4" borderId="5" xfId="3" applyFont="1" applyBorder="1"/>
    <xf numFmtId="20" fontId="1" fillId="3" borderId="3" xfId="2" applyNumberFormat="1" applyFont="1" applyBorder="1" applyAlignment="1">
      <alignment horizontal="center"/>
    </xf>
    <xf numFmtId="20" fontId="1" fillId="3" borderId="1" xfId="2" applyNumberFormat="1" applyFont="1" applyBorder="1" applyAlignment="1">
      <alignment horizontal="center"/>
    </xf>
    <xf numFmtId="20" fontId="1" fillId="3" borderId="8" xfId="2" applyNumberFormat="1" applyFont="1" applyBorder="1" applyAlignment="1">
      <alignment horizontal="center"/>
    </xf>
    <xf numFmtId="20" fontId="0" fillId="0" borderId="0" xfId="0" applyNumberFormat="1" applyAlignment="1">
      <alignment horizontal="center"/>
    </xf>
    <xf numFmtId="20" fontId="1" fillId="4" borderId="3" xfId="3" applyNumberFormat="1" applyFont="1" applyBorder="1" applyAlignment="1">
      <alignment horizontal="center"/>
    </xf>
    <xf numFmtId="20" fontId="1" fillId="4" borderId="1" xfId="3" applyNumberFormat="1" applyFont="1" applyBorder="1" applyAlignment="1">
      <alignment horizontal="center"/>
    </xf>
    <xf numFmtId="20" fontId="1" fillId="4" borderId="8" xfId="3" applyNumberFormat="1" applyFont="1" applyBorder="1" applyAlignment="1">
      <alignment horizontal="center"/>
    </xf>
    <xf numFmtId="164" fontId="1" fillId="2" borderId="2" xfId="1" applyNumberFormat="1" applyFont="1" applyBorder="1"/>
    <xf numFmtId="164" fontId="1" fillId="2" borderId="3" xfId="1" applyNumberFormat="1" applyFont="1" applyBorder="1"/>
    <xf numFmtId="0" fontId="1" fillId="2" borderId="3" xfId="1" applyFont="1" applyBorder="1" applyAlignment="1">
      <alignment horizontal="center"/>
    </xf>
    <xf numFmtId="0" fontId="1" fillId="2" borderId="3" xfId="1" applyFont="1" applyBorder="1"/>
    <xf numFmtId="20" fontId="1" fillId="2" borderId="3" xfId="1" applyNumberFormat="1" applyFont="1" applyBorder="1" applyAlignment="1">
      <alignment horizontal="center"/>
    </xf>
    <xf numFmtId="20" fontId="1" fillId="2" borderId="4" xfId="1" applyNumberFormat="1" applyFont="1" applyBorder="1"/>
    <xf numFmtId="164" fontId="1" fillId="2" borderId="5" xfId="1" applyNumberFormat="1" applyFont="1" applyBorder="1"/>
    <xf numFmtId="164" fontId="1" fillId="2" borderId="1" xfId="1" applyNumberFormat="1" applyFont="1" applyBorder="1"/>
    <xf numFmtId="0" fontId="1" fillId="2" borderId="1" xfId="1" applyFont="1" applyBorder="1" applyAlignment="1">
      <alignment horizontal="center"/>
    </xf>
    <xf numFmtId="0" fontId="1" fillId="2" borderId="1" xfId="1" applyFont="1" applyBorder="1"/>
    <xf numFmtId="20" fontId="1" fillId="2" borderId="1" xfId="1" applyNumberFormat="1" applyFont="1" applyBorder="1" applyAlignment="1">
      <alignment horizontal="center"/>
    </xf>
    <xf numFmtId="20" fontId="1" fillId="2" borderId="6" xfId="1" applyNumberFormat="1" applyFont="1" applyBorder="1"/>
    <xf numFmtId="164" fontId="1" fillId="2" borderId="7" xfId="1" applyNumberFormat="1" applyFont="1" applyBorder="1"/>
    <xf numFmtId="164" fontId="1" fillId="2" borderId="8" xfId="1" applyNumberFormat="1" applyFont="1" applyBorder="1"/>
    <xf numFmtId="0" fontId="1" fillId="2" borderId="8" xfId="1" applyFont="1" applyBorder="1" applyAlignment="1">
      <alignment horizontal="center"/>
    </xf>
    <xf numFmtId="0" fontId="1" fillId="2" borderId="8" xfId="1" applyFont="1" applyBorder="1"/>
    <xf numFmtId="20" fontId="1" fillId="2" borderId="8" xfId="1" applyNumberFormat="1" applyFont="1" applyBorder="1" applyAlignment="1">
      <alignment horizontal="center"/>
    </xf>
    <xf numFmtId="20" fontId="1" fillId="2" borderId="9" xfId="1" applyNumberFormat="1" applyFont="1" applyBorder="1"/>
    <xf numFmtId="0" fontId="1" fillId="2" borderId="5" xfId="1" applyFont="1" applyBorder="1"/>
    <xf numFmtId="0" fontId="8" fillId="0" borderId="2" xfId="0" applyFont="1" applyBorder="1" applyAlignment="1">
      <alignment horizontal="center" vertical="top"/>
    </xf>
    <xf numFmtId="0" fontId="8" fillId="0" borderId="3" xfId="0" applyFont="1" applyBorder="1"/>
    <xf numFmtId="0" fontId="8" fillId="0" borderId="4" xfId="0" applyFont="1" applyBorder="1" applyAlignment="1">
      <alignment horizontal="center"/>
    </xf>
    <xf numFmtId="2" fontId="8" fillId="0" borderId="9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 wrapText="1"/>
    </xf>
    <xf numFmtId="0" fontId="8" fillId="0" borderId="11" xfId="0" applyFont="1" applyBorder="1"/>
    <xf numFmtId="0" fontId="8" fillId="0" borderId="10" xfId="0" applyFont="1" applyBorder="1" applyAlignment="1">
      <alignment horizontal="center"/>
    </xf>
    <xf numFmtId="0" fontId="8" fillId="0" borderId="12" xfId="0" applyFont="1" applyBorder="1" applyAlignment="1">
      <alignment horizontal="left" wrapText="1"/>
    </xf>
    <xf numFmtId="2" fontId="10" fillId="6" borderId="18" xfId="4" applyNumberFormat="1" applyFont="1" applyBorder="1" applyAlignment="1">
      <alignment horizontal="left" wrapText="1"/>
    </xf>
    <xf numFmtId="2" fontId="1" fillId="2" borderId="4" xfId="1" applyNumberFormat="1" applyFont="1" applyBorder="1" applyAlignment="1">
      <alignment horizontal="center"/>
    </xf>
    <xf numFmtId="2" fontId="10" fillId="6" borderId="20" xfId="4" applyNumberFormat="1" applyFont="1" applyBorder="1" applyAlignment="1">
      <alignment horizontal="left" wrapText="1"/>
    </xf>
    <xf numFmtId="2" fontId="10" fillId="6" borderId="22" xfId="4" applyNumberFormat="1" applyFont="1" applyBorder="1" applyAlignment="1">
      <alignment horizontal="left" wrapText="1"/>
    </xf>
    <xf numFmtId="0" fontId="1" fillId="2" borderId="23" xfId="1" applyNumberFormat="1" applyFont="1" applyBorder="1" applyAlignment="1">
      <alignment horizontal="center" vertical="top"/>
    </xf>
    <xf numFmtId="0" fontId="1" fillId="2" borderId="24" xfId="1" applyFont="1" applyBorder="1" applyAlignment="1">
      <alignment horizontal="justify" vertical="center"/>
    </xf>
    <xf numFmtId="2" fontId="10" fillId="6" borderId="26" xfId="4" applyNumberFormat="1" applyFont="1" applyBorder="1" applyAlignment="1">
      <alignment horizontal="left" wrapText="1"/>
    </xf>
    <xf numFmtId="2" fontId="10" fillId="6" borderId="28" xfId="4" applyNumberFormat="1" applyFont="1" applyBorder="1" applyAlignment="1">
      <alignment horizontal="left" wrapText="1"/>
    </xf>
    <xf numFmtId="2" fontId="1" fillId="2" borderId="29" xfId="1" applyNumberFormat="1" applyFont="1" applyBorder="1" applyAlignment="1">
      <alignment horizontal="center"/>
    </xf>
    <xf numFmtId="0" fontId="8" fillId="2" borderId="14" xfId="1" applyNumberFormat="1" applyFont="1" applyBorder="1" applyAlignment="1">
      <alignment horizontal="center" vertical="top"/>
    </xf>
    <xf numFmtId="0" fontId="8" fillId="2" borderId="11" xfId="1" applyFont="1" applyBorder="1"/>
    <xf numFmtId="2" fontId="1" fillId="2" borderId="33" xfId="1" applyNumberFormat="1" applyFont="1" applyBorder="1" applyAlignment="1">
      <alignment horizontal="center"/>
    </xf>
    <xf numFmtId="0" fontId="1" fillId="2" borderId="15" xfId="1" applyNumberFormat="1" applyFont="1" applyBorder="1" applyAlignment="1">
      <alignment horizontal="center" vertical="top"/>
    </xf>
    <xf numFmtId="0" fontId="1" fillId="2" borderId="16" xfId="1" applyFont="1" applyBorder="1" applyAlignment="1">
      <alignment horizontal="justify" vertical="center"/>
    </xf>
    <xf numFmtId="0" fontId="1" fillId="2" borderId="31" xfId="1" applyNumberFormat="1" applyFont="1" applyBorder="1" applyAlignment="1">
      <alignment horizontal="center" vertical="top"/>
    </xf>
    <xf numFmtId="0" fontId="1" fillId="2" borderId="32" xfId="1" applyFont="1" applyBorder="1" applyAlignment="1">
      <alignment horizontal="justify" vertical="center"/>
    </xf>
    <xf numFmtId="2" fontId="1" fillId="2" borderId="34" xfId="1" applyNumberFormat="1" applyFont="1" applyBorder="1" applyAlignment="1">
      <alignment horizontal="center"/>
    </xf>
    <xf numFmtId="0" fontId="1" fillId="2" borderId="37" xfId="1" applyFont="1" applyBorder="1" applyAlignment="1">
      <alignment horizontal="justify" vertical="center"/>
    </xf>
    <xf numFmtId="0" fontId="1" fillId="2" borderId="38" xfId="1" applyFont="1" applyBorder="1" applyAlignment="1">
      <alignment horizontal="justify" vertical="center"/>
    </xf>
    <xf numFmtId="0" fontId="1" fillId="2" borderId="41" xfId="1" applyFont="1" applyBorder="1" applyAlignment="1">
      <alignment horizontal="justify" vertical="center" wrapText="1"/>
    </xf>
    <xf numFmtId="0" fontId="1" fillId="2" borderId="37" xfId="1" applyFont="1" applyBorder="1" applyAlignment="1">
      <alignment horizontal="justify" vertical="center" wrapText="1"/>
    </xf>
    <xf numFmtId="0" fontId="1" fillId="2" borderId="39" xfId="1" applyFont="1" applyBorder="1" applyAlignment="1">
      <alignment horizontal="justify" vertical="center"/>
    </xf>
    <xf numFmtId="0" fontId="8" fillId="2" borderId="36" xfId="1" applyFont="1" applyBorder="1" applyAlignment="1">
      <alignment horizontal="center"/>
    </xf>
    <xf numFmtId="0" fontId="1" fillId="2" borderId="40" xfId="1" applyFont="1" applyBorder="1" applyAlignment="1">
      <alignment horizontal="justify" vertical="center"/>
    </xf>
    <xf numFmtId="0" fontId="8" fillId="2" borderId="12" xfId="1" applyFont="1" applyBorder="1"/>
    <xf numFmtId="165" fontId="8" fillId="0" borderId="12" xfId="0" applyNumberFormat="1" applyFont="1" applyBorder="1" applyAlignment="1">
      <alignment horizontal="left" wrapText="1"/>
    </xf>
    <xf numFmtId="0" fontId="5" fillId="0" borderId="14" xfId="0" applyFont="1" applyBorder="1" applyAlignment="1">
      <alignment horizontal="center"/>
    </xf>
    <xf numFmtId="2" fontId="8" fillId="0" borderId="12" xfId="0" applyNumberFormat="1" applyFont="1" applyBorder="1" applyAlignment="1">
      <alignment horizontal="center"/>
    </xf>
    <xf numFmtId="0" fontId="1" fillId="2" borderId="39" xfId="1" applyFont="1" applyBorder="1" applyAlignment="1">
      <alignment horizontal="justify" vertical="center" wrapText="1"/>
    </xf>
    <xf numFmtId="0" fontId="1" fillId="4" borderId="15" xfId="3" applyNumberFormat="1" applyFont="1" applyBorder="1" applyAlignment="1">
      <alignment horizontal="center" vertical="top"/>
    </xf>
    <xf numFmtId="0" fontId="1" fillId="4" borderId="16" xfId="3" applyFont="1" applyBorder="1" applyAlignment="1">
      <alignment horizontal="justify" vertical="center"/>
    </xf>
    <xf numFmtId="2" fontId="1" fillId="4" borderId="29" xfId="3" applyNumberFormat="1" applyFont="1" applyBorder="1" applyAlignment="1">
      <alignment horizontal="center"/>
    </xf>
    <xf numFmtId="0" fontId="1" fillId="4" borderId="31" xfId="3" applyNumberFormat="1" applyFont="1" applyBorder="1" applyAlignment="1">
      <alignment horizontal="center" vertical="top"/>
    </xf>
    <xf numFmtId="0" fontId="1" fillId="4" borderId="32" xfId="3" applyFont="1" applyBorder="1" applyAlignment="1">
      <alignment horizontal="justify" vertical="center"/>
    </xf>
    <xf numFmtId="2" fontId="10" fillId="6" borderId="45" xfId="4" applyNumberFormat="1" applyFont="1" applyBorder="1" applyAlignment="1">
      <alignment horizontal="left" wrapText="1"/>
    </xf>
    <xf numFmtId="0" fontId="0" fillId="2" borderId="16" xfId="1" applyFont="1" applyBorder="1" applyAlignment="1">
      <alignment horizontal="justify" vertical="center"/>
    </xf>
    <xf numFmtId="0" fontId="0" fillId="2" borderId="39" xfId="1" applyFont="1" applyBorder="1" applyAlignment="1">
      <alignment horizontal="justify" vertical="center"/>
    </xf>
    <xf numFmtId="0" fontId="1" fillId="3" borderId="23" xfId="2" applyNumberFormat="1" applyFont="1" applyBorder="1" applyAlignment="1">
      <alignment horizontal="center" vertical="top"/>
    </xf>
    <xf numFmtId="0" fontId="1" fillId="3" borderId="24" xfId="2" applyFont="1" applyBorder="1" applyAlignment="1">
      <alignment horizontal="justify" vertical="center"/>
    </xf>
    <xf numFmtId="0" fontId="1" fillId="3" borderId="40" xfId="2" applyFont="1" applyBorder="1" applyAlignment="1">
      <alignment horizontal="justify" vertical="center"/>
    </xf>
    <xf numFmtId="2" fontId="1" fillId="3" borderId="4" xfId="2" applyNumberFormat="1" applyFont="1" applyBorder="1" applyAlignment="1">
      <alignment horizontal="center"/>
    </xf>
    <xf numFmtId="2" fontId="1" fillId="3" borderId="33" xfId="2" applyNumberFormat="1" applyFont="1" applyBorder="1" applyAlignment="1">
      <alignment horizontal="center"/>
    </xf>
    <xf numFmtId="0" fontId="1" fillId="3" borderId="31" xfId="2" applyNumberFormat="1" applyFont="1" applyBorder="1" applyAlignment="1">
      <alignment horizontal="center" vertical="top"/>
    </xf>
    <xf numFmtId="0" fontId="1" fillId="3" borderId="32" xfId="2" applyFont="1" applyBorder="1" applyAlignment="1">
      <alignment horizontal="justify" vertical="center"/>
    </xf>
    <xf numFmtId="0" fontId="1" fillId="3" borderId="39" xfId="2" applyFont="1" applyBorder="1" applyAlignment="1">
      <alignment horizontal="justify" vertical="center"/>
    </xf>
    <xf numFmtId="2" fontId="1" fillId="3" borderId="34" xfId="2" applyNumberFormat="1" applyFont="1" applyBorder="1" applyAlignment="1">
      <alignment horizontal="center"/>
    </xf>
    <xf numFmtId="0" fontId="8" fillId="2" borderId="36" xfId="1" quotePrefix="1" applyFont="1" applyBorder="1" applyAlignment="1">
      <alignment horizontal="center"/>
    </xf>
    <xf numFmtId="0" fontId="1" fillId="3" borderId="41" xfId="2" applyFont="1" applyBorder="1" applyAlignment="1">
      <alignment horizontal="justify" vertical="center"/>
    </xf>
    <xf numFmtId="0" fontId="8" fillId="0" borderId="42" xfId="0" applyFont="1" applyBorder="1"/>
    <xf numFmtId="2" fontId="8" fillId="0" borderId="46" xfId="0" applyNumberFormat="1" applyFont="1" applyBorder="1" applyAlignment="1">
      <alignment horizontal="center"/>
    </xf>
    <xf numFmtId="0" fontId="1" fillId="4" borderId="23" xfId="3" applyNumberFormat="1" applyFont="1" applyBorder="1" applyAlignment="1">
      <alignment horizontal="center" vertical="top"/>
    </xf>
    <xf numFmtId="0" fontId="1" fillId="4" borderId="24" xfId="3" applyFont="1" applyBorder="1" applyAlignment="1">
      <alignment horizontal="justify" vertical="center"/>
    </xf>
    <xf numFmtId="0" fontId="0" fillId="4" borderId="4" xfId="3" applyFont="1" applyBorder="1" applyAlignment="1">
      <alignment horizontal="justify" vertical="center" wrapText="1"/>
    </xf>
    <xf numFmtId="0" fontId="0" fillId="4" borderId="6" xfId="3" applyFont="1" applyBorder="1" applyAlignment="1">
      <alignment horizontal="justify" vertical="center" wrapText="1"/>
    </xf>
    <xf numFmtId="0" fontId="0" fillId="4" borderId="9" xfId="3" applyFont="1" applyBorder="1" applyAlignment="1">
      <alignment horizontal="justify" vertical="center"/>
    </xf>
    <xf numFmtId="2" fontId="4" fillId="4" borderId="33" xfId="3" applyNumberFormat="1" applyBorder="1" applyAlignment="1">
      <alignment horizontal="center"/>
    </xf>
    <xf numFmtId="2" fontId="4" fillId="4" borderId="34" xfId="3" applyNumberFormat="1" applyBorder="1" applyAlignment="1">
      <alignment horizontal="center"/>
    </xf>
    <xf numFmtId="165" fontId="1" fillId="4" borderId="48" xfId="3" applyNumberFormat="1" applyFont="1" applyBorder="1" applyAlignment="1">
      <alignment horizontal="center"/>
    </xf>
    <xf numFmtId="165" fontId="1" fillId="3" borderId="29" xfId="2" applyNumberFormat="1" applyFont="1" applyBorder="1" applyAlignment="1">
      <alignment horizontal="center"/>
    </xf>
    <xf numFmtId="165" fontId="1" fillId="3" borderId="35" xfId="2" applyNumberFormat="1" applyFont="1" applyBorder="1" applyAlignment="1">
      <alignment horizontal="center"/>
    </xf>
    <xf numFmtId="165" fontId="1" fillId="3" borderId="43" xfId="2" applyNumberFormat="1" applyFont="1" applyBorder="1" applyAlignment="1">
      <alignment horizontal="center"/>
    </xf>
    <xf numFmtId="165" fontId="1" fillId="3" borderId="4" xfId="2" applyNumberFormat="1" applyFont="1" applyBorder="1" applyAlignment="1">
      <alignment horizontal="center"/>
    </xf>
    <xf numFmtId="165" fontId="1" fillId="3" borderId="33" xfId="2" applyNumberFormat="1" applyFont="1" applyBorder="1" applyAlignment="1">
      <alignment horizontal="center"/>
    </xf>
    <xf numFmtId="165" fontId="1" fillId="3" borderId="34" xfId="2" applyNumberFormat="1" applyFont="1" applyBorder="1" applyAlignment="1">
      <alignment horizontal="center"/>
    </xf>
    <xf numFmtId="165" fontId="1" fillId="2" borderId="29" xfId="1" applyNumberFormat="1" applyFont="1" applyBorder="1" applyAlignment="1">
      <alignment horizontal="center"/>
    </xf>
    <xf numFmtId="165" fontId="1" fillId="2" borderId="35" xfId="1" applyNumberFormat="1" applyFont="1" applyBorder="1" applyAlignment="1">
      <alignment horizontal="center"/>
    </xf>
    <xf numFmtId="165" fontId="1" fillId="2" borderId="43" xfId="1" applyNumberFormat="1" applyFont="1" applyBorder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165" fontId="10" fillId="6" borderId="17" xfId="4" applyNumberFormat="1" applyFont="1" applyBorder="1" applyAlignment="1">
      <alignment horizontal="center"/>
    </xf>
    <xf numFmtId="165" fontId="10" fillId="6" borderId="18" xfId="4" applyNumberFormat="1" applyFont="1" applyBorder="1" applyAlignment="1">
      <alignment horizontal="left" wrapText="1"/>
    </xf>
    <xf numFmtId="165" fontId="10" fillId="6" borderId="19" xfId="4" applyNumberFormat="1" applyFont="1" applyBorder="1" applyAlignment="1">
      <alignment horizontal="center"/>
    </xf>
    <xf numFmtId="165" fontId="10" fillId="6" borderId="28" xfId="4" applyNumberFormat="1" applyFont="1" applyBorder="1" applyAlignment="1">
      <alignment horizontal="left" wrapText="1"/>
    </xf>
    <xf numFmtId="165" fontId="10" fillId="6" borderId="27" xfId="4" applyNumberFormat="1" applyFont="1" applyBorder="1" applyAlignment="1">
      <alignment horizontal="center"/>
    </xf>
    <xf numFmtId="165" fontId="10" fillId="6" borderId="21" xfId="4" applyNumberFormat="1" applyFont="1" applyBorder="1" applyAlignment="1">
      <alignment horizontal="center"/>
    </xf>
    <xf numFmtId="165" fontId="10" fillId="6" borderId="22" xfId="4" applyNumberFormat="1" applyFont="1" applyBorder="1" applyAlignment="1">
      <alignment horizontal="left" wrapText="1"/>
    </xf>
    <xf numFmtId="165" fontId="10" fillId="6" borderId="20" xfId="4" applyNumberFormat="1" applyFont="1" applyBorder="1" applyAlignment="1">
      <alignment horizontal="left" wrapText="1"/>
    </xf>
    <xf numFmtId="165" fontId="10" fillId="6" borderId="25" xfId="4" applyNumberFormat="1" applyFont="1" applyBorder="1" applyAlignment="1">
      <alignment horizontal="center"/>
    </xf>
    <xf numFmtId="165" fontId="10" fillId="6" borderId="26" xfId="4" applyNumberFormat="1" applyFont="1" applyBorder="1" applyAlignment="1">
      <alignment horizontal="left" wrapText="1"/>
    </xf>
    <xf numFmtId="165" fontId="8" fillId="0" borderId="10" xfId="0" applyNumberFormat="1" applyFont="1" applyBorder="1" applyAlignment="1">
      <alignment horizontal="center"/>
    </xf>
    <xf numFmtId="165" fontId="10" fillId="6" borderId="44" xfId="4" applyNumberFormat="1" applyFont="1" applyBorder="1" applyAlignment="1">
      <alignment horizontal="center"/>
    </xf>
    <xf numFmtId="165" fontId="8" fillId="0" borderId="36" xfId="0" applyNumberFormat="1" applyFont="1" applyBorder="1" applyAlignment="1">
      <alignment horizontal="center"/>
    </xf>
    <xf numFmtId="0" fontId="1" fillId="3" borderId="14" xfId="2" applyNumberFormat="1" applyFont="1" applyBorder="1" applyAlignment="1">
      <alignment horizontal="center" vertical="top"/>
    </xf>
    <xf numFmtId="0" fontId="1" fillId="3" borderId="15" xfId="2" applyNumberFormat="1" applyFont="1" applyBorder="1" applyAlignment="1">
      <alignment horizontal="center" vertical="top"/>
    </xf>
    <xf numFmtId="0" fontId="1" fillId="3" borderId="16" xfId="2" applyFont="1" applyBorder="1" applyAlignment="1">
      <alignment horizontal="justify" vertical="center"/>
    </xf>
    <xf numFmtId="0" fontId="1" fillId="3" borderId="42" xfId="2" applyFont="1" applyBorder="1" applyAlignment="1">
      <alignment horizontal="justify" vertical="center"/>
    </xf>
    <xf numFmtId="165" fontId="1" fillId="3" borderId="36" xfId="2" applyNumberFormat="1" applyFont="1" applyBorder="1" applyAlignment="1">
      <alignment horizontal="center"/>
    </xf>
    <xf numFmtId="165" fontId="1" fillId="3" borderId="12" xfId="2" applyNumberFormat="1" applyFont="1" applyBorder="1" applyAlignment="1">
      <alignment horizontal="center"/>
    </xf>
    <xf numFmtId="2" fontId="1" fillId="3" borderId="12" xfId="2" applyNumberFormat="1" applyFont="1" applyBorder="1" applyAlignment="1">
      <alignment horizontal="center"/>
    </xf>
    <xf numFmtId="0" fontId="1" fillId="2" borderId="4" xfId="1" applyFont="1" applyBorder="1" applyAlignment="1">
      <alignment horizontal="justify" vertical="center" wrapText="1"/>
    </xf>
    <xf numFmtId="0" fontId="1" fillId="2" borderId="6" xfId="1" applyFont="1" applyBorder="1" applyAlignment="1">
      <alignment horizontal="justify" vertical="center" wrapText="1"/>
    </xf>
    <xf numFmtId="0" fontId="1" fillId="2" borderId="9" xfId="1" applyFont="1" applyBorder="1" applyAlignment="1">
      <alignment horizontal="justify" vertical="center" wrapText="1"/>
    </xf>
    <xf numFmtId="165" fontId="1" fillId="3" borderId="47" xfId="2" applyNumberFormat="1" applyFont="1" applyBorder="1" applyAlignment="1">
      <alignment horizontal="center"/>
    </xf>
    <xf numFmtId="165" fontId="1" fillId="3" borderId="49" xfId="2" applyNumberFormat="1" applyFont="1" applyBorder="1" applyAlignment="1">
      <alignment horizontal="center"/>
    </xf>
    <xf numFmtId="2" fontId="1" fillId="3" borderId="49" xfId="2" applyNumberFormat="1" applyFont="1" applyBorder="1" applyAlignment="1">
      <alignment horizontal="center"/>
    </xf>
    <xf numFmtId="0" fontId="1" fillId="3" borderId="11" xfId="2" applyFont="1" applyBorder="1" applyAlignment="1">
      <alignment horizontal="justify" vertical="center" wrapText="1"/>
    </xf>
    <xf numFmtId="0" fontId="8" fillId="4" borderId="11" xfId="3" applyFont="1" applyBorder="1"/>
    <xf numFmtId="0" fontId="8" fillId="4" borderId="42" xfId="3" applyFont="1" applyBorder="1"/>
    <xf numFmtId="165" fontId="8" fillId="4" borderId="36" xfId="3" applyNumberFormat="1" applyFont="1" applyBorder="1" applyAlignment="1">
      <alignment horizontal="center"/>
    </xf>
    <xf numFmtId="0" fontId="8" fillId="4" borderId="12" xfId="3" applyFont="1" applyBorder="1" applyAlignment="1">
      <alignment horizontal="center"/>
    </xf>
    <xf numFmtId="0" fontId="8" fillId="3" borderId="11" xfId="2" applyFont="1" applyBorder="1"/>
    <xf numFmtId="0" fontId="8" fillId="3" borderId="42" xfId="2" applyFont="1" applyBorder="1"/>
    <xf numFmtId="0" fontId="8" fillId="3" borderId="12" xfId="2" applyFont="1" applyBorder="1" applyAlignment="1">
      <alignment horizontal="center"/>
    </xf>
    <xf numFmtId="165" fontId="8" fillId="3" borderId="36" xfId="2" quotePrefix="1" applyNumberFormat="1" applyFont="1" applyBorder="1" applyAlignment="1">
      <alignment horizontal="center"/>
    </xf>
    <xf numFmtId="0" fontId="8" fillId="3" borderId="12" xfId="2" quotePrefix="1" applyFont="1" applyBorder="1" applyAlignment="1">
      <alignment horizontal="center"/>
    </xf>
    <xf numFmtId="0" fontId="1" fillId="3" borderId="50" xfId="2" applyFont="1" applyBorder="1" applyAlignment="1">
      <alignment horizontal="justify" vertical="center"/>
    </xf>
    <xf numFmtId="0" fontId="1" fillId="3" borderId="37" xfId="2" applyFont="1" applyBorder="1" applyAlignment="1">
      <alignment horizontal="justify" vertical="center"/>
    </xf>
    <xf numFmtId="0" fontId="1" fillId="2" borderId="50" xfId="1" applyFont="1" applyBorder="1" applyAlignment="1">
      <alignment horizontal="justify" vertical="center" wrapText="1"/>
    </xf>
    <xf numFmtId="0" fontId="1" fillId="2" borderId="51" xfId="1" applyNumberFormat="1" applyFont="1" applyBorder="1" applyAlignment="1">
      <alignment horizontal="center" vertical="top"/>
    </xf>
    <xf numFmtId="0" fontId="1" fillId="2" borderId="47" xfId="1" applyNumberFormat="1" applyFont="1" applyBorder="1" applyAlignment="1">
      <alignment horizontal="center" vertical="top"/>
    </xf>
    <xf numFmtId="0" fontId="1" fillId="2" borderId="43" xfId="1" applyNumberFormat="1" applyFont="1" applyBorder="1" applyAlignment="1">
      <alignment horizontal="center" vertical="top"/>
    </xf>
    <xf numFmtId="0" fontId="5" fillId="0" borderId="30" xfId="0" applyFont="1" applyBorder="1" applyAlignment="1">
      <alignment horizontal="center"/>
    </xf>
    <xf numFmtId="0" fontId="1" fillId="3" borderId="51" xfId="2" applyNumberFormat="1" applyFont="1" applyBorder="1" applyAlignment="1">
      <alignment horizontal="center" vertical="top"/>
    </xf>
    <xf numFmtId="0" fontId="1" fillId="3" borderId="47" xfId="2" applyNumberFormat="1" applyFont="1" applyBorder="1" applyAlignment="1">
      <alignment horizontal="center" vertical="top"/>
    </xf>
    <xf numFmtId="0" fontId="5" fillId="0" borderId="31" xfId="0" applyFont="1" applyBorder="1" applyAlignment="1">
      <alignment horizontal="center"/>
    </xf>
    <xf numFmtId="0" fontId="8" fillId="0" borderId="32" xfId="0" applyFont="1" applyBorder="1"/>
    <xf numFmtId="0" fontId="8" fillId="0" borderId="1" xfId="0" applyFont="1" applyBorder="1" applyAlignment="1">
      <alignment horizontal="center" vertical="top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 vertical="top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 vertical="top"/>
    </xf>
    <xf numFmtId="0" fontId="8" fillId="0" borderId="6" xfId="0" applyFont="1" applyBorder="1" applyAlignment="1">
      <alignment horizontal="center"/>
    </xf>
    <xf numFmtId="1" fontId="8" fillId="0" borderId="8" xfId="0" applyNumberFormat="1" applyFont="1" applyBorder="1" applyAlignment="1">
      <alignment horizontal="center"/>
    </xf>
    <xf numFmtId="2" fontId="8" fillId="0" borderId="8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8" fillId="0" borderId="4" xfId="0" applyFont="1" applyBorder="1" applyAlignment="1">
      <alignment horizontal="left" wrapText="1"/>
    </xf>
    <xf numFmtId="0" fontId="8" fillId="0" borderId="5" xfId="0" applyFont="1" applyBorder="1" applyAlignment="1">
      <alignment horizontal="center" wrapText="1"/>
    </xf>
    <xf numFmtId="165" fontId="8" fillId="0" borderId="6" xfId="0" applyNumberFormat="1" applyFont="1" applyBorder="1" applyAlignment="1">
      <alignment horizontal="left" wrapText="1"/>
    </xf>
    <xf numFmtId="0" fontId="8" fillId="0" borderId="7" xfId="0" applyFont="1" applyBorder="1" applyAlignment="1">
      <alignment horizontal="center" wrapText="1"/>
    </xf>
    <xf numFmtId="165" fontId="8" fillId="0" borderId="9" xfId="0" applyNumberFormat="1" applyFont="1" applyBorder="1" applyAlignment="1">
      <alignment horizontal="left" wrapText="1"/>
    </xf>
    <xf numFmtId="0" fontId="8" fillId="2" borderId="51" xfId="1" applyNumberFormat="1" applyFont="1" applyBorder="1" applyAlignment="1">
      <alignment horizontal="center" vertical="top"/>
    </xf>
    <xf numFmtId="0" fontId="8" fillId="2" borderId="36" xfId="1" applyNumberFormat="1" applyFont="1" applyBorder="1" applyAlignment="1">
      <alignment horizontal="center" vertical="top"/>
    </xf>
    <xf numFmtId="0" fontId="8" fillId="4" borderId="14" xfId="3" applyFont="1" applyBorder="1" applyAlignment="1">
      <alignment horizontal="center"/>
    </xf>
    <xf numFmtId="0" fontId="8" fillId="4" borderId="36" xfId="3" applyNumberFormat="1" applyFont="1" applyBorder="1" applyAlignment="1">
      <alignment horizontal="center" vertical="top"/>
    </xf>
    <xf numFmtId="0" fontId="1" fillId="4" borderId="51" xfId="3" applyNumberFormat="1" applyFont="1" applyBorder="1" applyAlignment="1">
      <alignment horizontal="center" vertical="top"/>
    </xf>
    <xf numFmtId="0" fontId="1" fillId="4" borderId="47" xfId="3" applyNumberFormat="1" applyFont="1" applyBorder="1" applyAlignment="1">
      <alignment horizontal="center" vertical="top"/>
    </xf>
    <xf numFmtId="0" fontId="1" fillId="4" borderId="43" xfId="3" applyNumberFormat="1" applyFont="1" applyBorder="1" applyAlignment="1">
      <alignment horizontal="center" vertical="top"/>
    </xf>
    <xf numFmtId="0" fontId="8" fillId="3" borderId="14" xfId="2" applyFont="1" applyBorder="1" applyAlignment="1">
      <alignment horizontal="center"/>
    </xf>
    <xf numFmtId="0" fontId="8" fillId="3" borderId="51" xfId="2" applyNumberFormat="1" applyFont="1" applyBorder="1" applyAlignment="1">
      <alignment horizontal="center" vertical="top"/>
    </xf>
    <xf numFmtId="165" fontId="8" fillId="0" borderId="1" xfId="0" applyNumberFormat="1" applyFont="1" applyBorder="1" applyAlignment="1">
      <alignment horizontal="center"/>
    </xf>
    <xf numFmtId="0" fontId="5" fillId="0" borderId="36" xfId="0" applyFont="1" applyBorder="1" applyAlignment="1">
      <alignment horizontal="center"/>
    </xf>
  </cellXfs>
  <cellStyles count="5">
    <cellStyle name="Ausgabe" xfId="4" builtinId="21"/>
    <cellStyle name="Gut" xfId="1" builtinId="26"/>
    <cellStyle name="Neutral" xfId="3" builtinId="28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workbookViewId="0">
      <selection activeCell="A3" sqref="A3"/>
    </sheetView>
  </sheetViews>
  <sheetFormatPr baseColWidth="10" defaultColWidth="8.83984375" defaultRowHeight="14.4" x14ac:dyDescent="0.55000000000000004"/>
  <cols>
    <col min="1" max="1" width="7.62890625" bestFit="1" customWidth="1"/>
    <col min="2" max="2" width="6.26171875" bestFit="1" customWidth="1"/>
    <col min="3" max="3" width="5.83984375" style="5" bestFit="1" customWidth="1"/>
    <col min="6" max="8" width="8.83984375" style="5"/>
    <col min="9" max="9" width="17.578125" customWidth="1"/>
    <col min="11" max="12" width="8.83984375" hidden="1" customWidth="1"/>
    <col min="13" max="13" width="0" hidden="1" customWidth="1"/>
  </cols>
  <sheetData>
    <row r="1" spans="1:12" ht="14.7" thickBot="1" x14ac:dyDescent="0.6">
      <c r="A1" s="19" t="s">
        <v>6</v>
      </c>
      <c r="B1" s="20" t="s">
        <v>0</v>
      </c>
      <c r="C1" s="21" t="s">
        <v>11</v>
      </c>
      <c r="D1" s="20" t="s">
        <v>7</v>
      </c>
      <c r="E1" s="20" t="s">
        <v>8</v>
      </c>
      <c r="F1" s="21" t="s">
        <v>1</v>
      </c>
      <c r="G1" s="21" t="s">
        <v>2</v>
      </c>
      <c r="H1" s="21" t="s">
        <v>3</v>
      </c>
      <c r="I1" s="22" t="s">
        <v>13</v>
      </c>
      <c r="K1" t="s">
        <v>2</v>
      </c>
      <c r="L1" t="s">
        <v>4</v>
      </c>
    </row>
    <row r="2" spans="1:12" x14ac:dyDescent="0.55000000000000004">
      <c r="A2" s="7" t="s">
        <v>39</v>
      </c>
      <c r="B2" s="8" t="s">
        <v>5</v>
      </c>
      <c r="C2" s="9">
        <v>1</v>
      </c>
      <c r="D2" s="10"/>
      <c r="E2" s="10"/>
      <c r="F2" s="39">
        <v>0.3576388888888889</v>
      </c>
      <c r="G2" s="39">
        <f t="shared" ref="G2:G11" si="0">$K$2</f>
        <v>1.3888888888888888E-2</v>
      </c>
      <c r="H2" s="39">
        <f t="shared" ref="H2:H11" si="1">F2+G2</f>
        <v>0.37152777777777779</v>
      </c>
      <c r="I2" s="11" t="s">
        <v>15</v>
      </c>
      <c r="K2" s="1">
        <v>1.3888888888888888E-2</v>
      </c>
      <c r="L2" s="1">
        <v>3.472222222222222E-3</v>
      </c>
    </row>
    <row r="3" spans="1:12" x14ac:dyDescent="0.55000000000000004">
      <c r="A3" s="12"/>
      <c r="B3" s="3"/>
      <c r="C3" s="6">
        <f t="shared" ref="C3:C11" si="2">C2+1</f>
        <v>2</v>
      </c>
      <c r="D3" s="4"/>
      <c r="E3" s="4"/>
      <c r="F3" s="40">
        <f>H2+$L$2</f>
        <v>0.375</v>
      </c>
      <c r="G3" s="40">
        <f t="shared" si="0"/>
        <v>1.3888888888888888E-2</v>
      </c>
      <c r="H3" s="40">
        <f t="shared" si="1"/>
        <v>0.3888888888888889</v>
      </c>
      <c r="I3" s="13" t="s">
        <v>15</v>
      </c>
    </row>
    <row r="4" spans="1:12" x14ac:dyDescent="0.55000000000000004">
      <c r="A4" s="12"/>
      <c r="B4" s="3"/>
      <c r="C4" s="6">
        <f t="shared" si="2"/>
        <v>3</v>
      </c>
      <c r="D4" s="4"/>
      <c r="E4" s="4"/>
      <c r="F4" s="40">
        <f>H3+$L$2</f>
        <v>0.3923611111111111</v>
      </c>
      <c r="G4" s="40">
        <f t="shared" si="0"/>
        <v>1.3888888888888888E-2</v>
      </c>
      <c r="H4" s="40">
        <f t="shared" si="1"/>
        <v>0.40625</v>
      </c>
      <c r="I4" s="13" t="str">
        <f>I3</f>
        <v>2er</v>
      </c>
    </row>
    <row r="5" spans="1:12" x14ac:dyDescent="0.55000000000000004">
      <c r="A5" s="12"/>
      <c r="B5" s="3"/>
      <c r="C5" s="6">
        <f t="shared" si="2"/>
        <v>4</v>
      </c>
      <c r="D5" s="4"/>
      <c r="E5" s="4"/>
      <c r="F5" s="40">
        <f>H4+$L$2</f>
        <v>0.40972222222222221</v>
      </c>
      <c r="G5" s="40">
        <f t="shared" si="0"/>
        <v>1.3888888888888888E-2</v>
      </c>
      <c r="H5" s="40">
        <f t="shared" si="1"/>
        <v>0.4236111111111111</v>
      </c>
      <c r="I5" s="13" t="str">
        <f>I4</f>
        <v>2er</v>
      </c>
    </row>
    <row r="6" spans="1:12" ht="14.7" thickBot="1" x14ac:dyDescent="0.6">
      <c r="A6" s="14"/>
      <c r="B6" s="15"/>
      <c r="C6" s="16">
        <f t="shared" si="2"/>
        <v>5</v>
      </c>
      <c r="D6" s="17"/>
      <c r="E6" s="17"/>
      <c r="F6" s="41">
        <f>H5+$L$2</f>
        <v>0.42708333333333331</v>
      </c>
      <c r="G6" s="41">
        <f t="shared" si="0"/>
        <v>1.3888888888888888E-2</v>
      </c>
      <c r="H6" s="41">
        <f t="shared" si="1"/>
        <v>0.44097222222222221</v>
      </c>
      <c r="I6" s="18" t="s">
        <v>17</v>
      </c>
    </row>
    <row r="7" spans="1:12" x14ac:dyDescent="0.55000000000000004">
      <c r="A7" s="7" t="s">
        <v>12</v>
      </c>
      <c r="B7" s="8" t="str">
        <f>B2</f>
        <v>ME25f</v>
      </c>
      <c r="C7" s="9">
        <f t="shared" si="2"/>
        <v>6</v>
      </c>
      <c r="D7" s="10"/>
      <c r="E7" s="10"/>
      <c r="F7" s="39">
        <v>0.3576388888888889</v>
      </c>
      <c r="G7" s="39">
        <f t="shared" si="0"/>
        <v>1.3888888888888888E-2</v>
      </c>
      <c r="H7" s="39">
        <f t="shared" si="1"/>
        <v>0.37152777777777779</v>
      </c>
      <c r="I7" s="11" t="s">
        <v>15</v>
      </c>
    </row>
    <row r="8" spans="1:12" x14ac:dyDescent="0.55000000000000004">
      <c r="A8" s="12"/>
      <c r="B8" s="3"/>
      <c r="C8" s="6">
        <f t="shared" si="2"/>
        <v>7</v>
      </c>
      <c r="D8" s="4"/>
      <c r="E8" s="4"/>
      <c r="F8" s="40">
        <f>H7+$L$2</f>
        <v>0.375</v>
      </c>
      <c r="G8" s="40">
        <f t="shared" si="0"/>
        <v>1.3888888888888888E-2</v>
      </c>
      <c r="H8" s="40">
        <f t="shared" si="1"/>
        <v>0.3888888888888889</v>
      </c>
      <c r="I8" s="13" t="s">
        <v>15</v>
      </c>
    </row>
    <row r="9" spans="1:12" x14ac:dyDescent="0.55000000000000004">
      <c r="A9" s="12"/>
      <c r="B9" s="3"/>
      <c r="C9" s="6">
        <f t="shared" si="2"/>
        <v>8</v>
      </c>
      <c r="D9" s="4"/>
      <c r="E9" s="4"/>
      <c r="F9" s="40">
        <f>H8+$L$2</f>
        <v>0.3923611111111111</v>
      </c>
      <c r="G9" s="40">
        <f t="shared" si="0"/>
        <v>1.3888888888888888E-2</v>
      </c>
      <c r="H9" s="40">
        <f t="shared" si="1"/>
        <v>0.40625</v>
      </c>
      <c r="I9" s="13" t="str">
        <f>I8</f>
        <v>2er</v>
      </c>
    </row>
    <row r="10" spans="1:12" x14ac:dyDescent="0.55000000000000004">
      <c r="A10" s="12"/>
      <c r="B10" s="3"/>
      <c r="C10" s="6">
        <f t="shared" si="2"/>
        <v>9</v>
      </c>
      <c r="D10" s="4"/>
      <c r="E10" s="4"/>
      <c r="F10" s="40">
        <f>H9+$L$2</f>
        <v>0.40972222222222221</v>
      </c>
      <c r="G10" s="40">
        <f t="shared" si="0"/>
        <v>1.3888888888888888E-2</v>
      </c>
      <c r="H10" s="40">
        <f t="shared" si="1"/>
        <v>0.4236111111111111</v>
      </c>
      <c r="I10" s="13" t="str">
        <f>I9</f>
        <v>2er</v>
      </c>
    </row>
    <row r="11" spans="1:12" ht="14.7" thickBot="1" x14ac:dyDescent="0.6">
      <c r="A11" s="14"/>
      <c r="B11" s="15"/>
      <c r="C11" s="16">
        <f t="shared" si="2"/>
        <v>10</v>
      </c>
      <c r="D11" s="17"/>
      <c r="E11" s="17"/>
      <c r="F11" s="41">
        <f>H10+$L$2</f>
        <v>0.42708333333333331</v>
      </c>
      <c r="G11" s="41">
        <f t="shared" si="0"/>
        <v>1.3888888888888888E-2</v>
      </c>
      <c r="H11" s="41">
        <f t="shared" si="1"/>
        <v>0.44097222222222221</v>
      </c>
      <c r="I11" s="18" t="s">
        <v>17</v>
      </c>
    </row>
    <row r="12" spans="1:12" ht="14.7" thickBot="1" x14ac:dyDescent="0.6">
      <c r="A12" s="2"/>
      <c r="B12" s="2"/>
      <c r="F12" s="42"/>
      <c r="G12" s="42"/>
      <c r="H12" s="42"/>
      <c r="I12" s="1"/>
    </row>
    <row r="13" spans="1:12" ht="14.7" thickBot="1" x14ac:dyDescent="0.6">
      <c r="A13" s="19" t="s">
        <v>6</v>
      </c>
      <c r="B13" s="20" t="s">
        <v>0</v>
      </c>
      <c r="C13" s="21" t="s">
        <v>11</v>
      </c>
      <c r="D13" s="20" t="s">
        <v>7</v>
      </c>
      <c r="E13" s="20" t="s">
        <v>8</v>
      </c>
      <c r="F13" s="21" t="s">
        <v>1</v>
      </c>
      <c r="G13" s="21" t="s">
        <v>2</v>
      </c>
      <c r="H13" s="21" t="s">
        <v>3</v>
      </c>
      <c r="I13" s="22" t="s">
        <v>13</v>
      </c>
      <c r="K13" t="s">
        <v>2</v>
      </c>
      <c r="L13" t="s">
        <v>4</v>
      </c>
    </row>
    <row r="14" spans="1:12" x14ac:dyDescent="0.55000000000000004">
      <c r="A14" s="23" t="s">
        <v>9</v>
      </c>
      <c r="B14" s="24" t="s">
        <v>10</v>
      </c>
      <c r="C14" s="25">
        <v>1</v>
      </c>
      <c r="D14" s="26"/>
      <c r="E14" s="26"/>
      <c r="F14" s="43">
        <v>0.54166666666666663</v>
      </c>
      <c r="G14" s="43">
        <f t="shared" ref="G14:G23" si="3">$K$2</f>
        <v>1.3888888888888888E-2</v>
      </c>
      <c r="H14" s="43">
        <f t="shared" ref="H14:H23" si="4">F14+G14</f>
        <v>0.55555555555555547</v>
      </c>
      <c r="I14" s="27" t="s">
        <v>15</v>
      </c>
    </row>
    <row r="15" spans="1:12" x14ac:dyDescent="0.55000000000000004">
      <c r="A15" s="28"/>
      <c r="B15" s="29"/>
      <c r="C15" s="30">
        <f t="shared" ref="C15:C23" si="5">C14+1</f>
        <v>2</v>
      </c>
      <c r="D15" s="31"/>
      <c r="E15" s="31"/>
      <c r="F15" s="44">
        <f>H14+$L$2</f>
        <v>0.55902777777777768</v>
      </c>
      <c r="G15" s="44">
        <f t="shared" si="3"/>
        <v>1.3888888888888888E-2</v>
      </c>
      <c r="H15" s="44">
        <f t="shared" si="4"/>
        <v>0.57291666666666652</v>
      </c>
      <c r="I15" s="32" t="s">
        <v>15</v>
      </c>
    </row>
    <row r="16" spans="1:12" x14ac:dyDescent="0.55000000000000004">
      <c r="A16" s="28"/>
      <c r="B16" s="29"/>
      <c r="C16" s="30">
        <f t="shared" si="5"/>
        <v>3</v>
      </c>
      <c r="D16" s="31"/>
      <c r="E16" s="31"/>
      <c r="F16" s="44">
        <f>H15+$L$2</f>
        <v>0.57638888888888873</v>
      </c>
      <c r="G16" s="44">
        <f t="shared" si="3"/>
        <v>1.3888888888888888E-2</v>
      </c>
      <c r="H16" s="44">
        <f t="shared" si="4"/>
        <v>0.59027777777777757</v>
      </c>
      <c r="I16" s="32" t="str">
        <f>I15</f>
        <v>2er</v>
      </c>
    </row>
    <row r="17" spans="1:12" x14ac:dyDescent="0.55000000000000004">
      <c r="A17" s="28"/>
      <c r="B17" s="29"/>
      <c r="C17" s="30">
        <f t="shared" si="5"/>
        <v>4</v>
      </c>
      <c r="D17" s="31"/>
      <c r="E17" s="31"/>
      <c r="F17" s="44">
        <f>H16+$L$2</f>
        <v>0.59374999999999978</v>
      </c>
      <c r="G17" s="44">
        <f t="shared" si="3"/>
        <v>1.3888888888888888E-2</v>
      </c>
      <c r="H17" s="44">
        <f t="shared" si="4"/>
        <v>0.60763888888888862</v>
      </c>
      <c r="I17" s="32" t="str">
        <f>I16</f>
        <v>2er</v>
      </c>
    </row>
    <row r="18" spans="1:12" ht="14.7" thickBot="1" x14ac:dyDescent="0.6">
      <c r="A18" s="33"/>
      <c r="B18" s="34"/>
      <c r="C18" s="35">
        <f t="shared" si="5"/>
        <v>5</v>
      </c>
      <c r="D18" s="36"/>
      <c r="E18" s="36"/>
      <c r="F18" s="45">
        <f>H17+$L$2</f>
        <v>0.61111111111111083</v>
      </c>
      <c r="G18" s="45">
        <f t="shared" si="3"/>
        <v>1.3888888888888888E-2</v>
      </c>
      <c r="H18" s="45">
        <f t="shared" si="4"/>
        <v>0.62499999999999967</v>
      </c>
      <c r="I18" s="37" t="s">
        <v>14</v>
      </c>
    </row>
    <row r="19" spans="1:12" x14ac:dyDescent="0.55000000000000004">
      <c r="A19" s="23" t="s">
        <v>12</v>
      </c>
      <c r="B19" s="24"/>
      <c r="C19" s="25">
        <f t="shared" si="5"/>
        <v>6</v>
      </c>
      <c r="D19" s="26"/>
      <c r="E19" s="26"/>
      <c r="F19" s="43">
        <v>0.54166666666666663</v>
      </c>
      <c r="G19" s="43">
        <f t="shared" si="3"/>
        <v>1.3888888888888888E-2</v>
      </c>
      <c r="H19" s="43">
        <f t="shared" si="4"/>
        <v>0.55555555555555547</v>
      </c>
      <c r="I19" s="27" t="s">
        <v>15</v>
      </c>
    </row>
    <row r="20" spans="1:12" x14ac:dyDescent="0.55000000000000004">
      <c r="A20" s="38"/>
      <c r="B20" s="31"/>
      <c r="C20" s="30">
        <f t="shared" si="5"/>
        <v>7</v>
      </c>
      <c r="D20" s="31"/>
      <c r="E20" s="31"/>
      <c r="F20" s="44">
        <f>H19+$L$2</f>
        <v>0.55902777777777768</v>
      </c>
      <c r="G20" s="44">
        <f t="shared" si="3"/>
        <v>1.3888888888888888E-2</v>
      </c>
      <c r="H20" s="44">
        <f t="shared" si="4"/>
        <v>0.57291666666666652</v>
      </c>
      <c r="I20" s="32" t="s">
        <v>15</v>
      </c>
    </row>
    <row r="21" spans="1:12" x14ac:dyDescent="0.55000000000000004">
      <c r="A21" s="28"/>
      <c r="B21" s="29"/>
      <c r="C21" s="30">
        <f t="shared" si="5"/>
        <v>8</v>
      </c>
      <c r="D21" s="31"/>
      <c r="E21" s="31"/>
      <c r="F21" s="44">
        <f>H20+$L$2</f>
        <v>0.57638888888888873</v>
      </c>
      <c r="G21" s="44">
        <f t="shared" si="3"/>
        <v>1.3888888888888888E-2</v>
      </c>
      <c r="H21" s="44">
        <f t="shared" si="4"/>
        <v>0.59027777777777757</v>
      </c>
      <c r="I21" s="32" t="str">
        <f>I20</f>
        <v>2er</v>
      </c>
    </row>
    <row r="22" spans="1:12" x14ac:dyDescent="0.55000000000000004">
      <c r="A22" s="28"/>
      <c r="B22" s="29"/>
      <c r="C22" s="30">
        <f t="shared" si="5"/>
        <v>9</v>
      </c>
      <c r="D22" s="31"/>
      <c r="E22" s="31"/>
      <c r="F22" s="44">
        <f>H21+$L$2</f>
        <v>0.59374999999999978</v>
      </c>
      <c r="G22" s="44">
        <f t="shared" si="3"/>
        <v>1.3888888888888888E-2</v>
      </c>
      <c r="H22" s="44">
        <f t="shared" si="4"/>
        <v>0.60763888888888862</v>
      </c>
      <c r="I22" s="32" t="str">
        <f>I21</f>
        <v>2er</v>
      </c>
    </row>
    <row r="23" spans="1:12" ht="14.7" thickBot="1" x14ac:dyDescent="0.6">
      <c r="A23" s="33"/>
      <c r="B23" s="34"/>
      <c r="C23" s="35">
        <f t="shared" si="5"/>
        <v>10</v>
      </c>
      <c r="D23" s="36"/>
      <c r="E23" s="36"/>
      <c r="F23" s="45">
        <f>H22+$L$2</f>
        <v>0.61111111111111083</v>
      </c>
      <c r="G23" s="45">
        <f t="shared" si="3"/>
        <v>1.3888888888888888E-2</v>
      </c>
      <c r="H23" s="45">
        <f t="shared" si="4"/>
        <v>0.62499999999999967</v>
      </c>
      <c r="I23" s="37" t="s">
        <v>14</v>
      </c>
    </row>
    <row r="24" spans="1:12" ht="14.7" thickBot="1" x14ac:dyDescent="0.6">
      <c r="A24" s="2"/>
      <c r="B24" s="2"/>
    </row>
    <row r="25" spans="1:12" ht="14.7" thickBot="1" x14ac:dyDescent="0.6">
      <c r="A25" s="19" t="s">
        <v>6</v>
      </c>
      <c r="B25" s="20" t="s">
        <v>0</v>
      </c>
      <c r="C25" s="21" t="s">
        <v>11</v>
      </c>
      <c r="D25" s="20" t="s">
        <v>7</v>
      </c>
      <c r="E25" s="20" t="s">
        <v>8</v>
      </c>
      <c r="F25" s="21" t="s">
        <v>1</v>
      </c>
      <c r="G25" s="21" t="s">
        <v>2</v>
      </c>
      <c r="H25" s="21" t="s">
        <v>3</v>
      </c>
      <c r="I25" s="22" t="s">
        <v>13</v>
      </c>
      <c r="K25" t="s">
        <v>2</v>
      </c>
      <c r="L25" t="s">
        <v>4</v>
      </c>
    </row>
    <row r="26" spans="1:12" x14ac:dyDescent="0.55000000000000004">
      <c r="A26" s="46" t="s">
        <v>9</v>
      </c>
      <c r="B26" s="47" t="s">
        <v>18</v>
      </c>
      <c r="C26" s="48">
        <v>1</v>
      </c>
      <c r="D26" s="49"/>
      <c r="E26" s="49"/>
      <c r="F26" s="50">
        <v>0.65277777777777779</v>
      </c>
      <c r="G26" s="50">
        <f t="shared" ref="G26:G35" si="6">$K$2</f>
        <v>1.3888888888888888E-2</v>
      </c>
      <c r="H26" s="50">
        <f t="shared" ref="H26:H35" si="7">F26+G26</f>
        <v>0.66666666666666663</v>
      </c>
      <c r="I26" s="51" t="s">
        <v>15</v>
      </c>
    </row>
    <row r="27" spans="1:12" x14ac:dyDescent="0.55000000000000004">
      <c r="A27" s="52"/>
      <c r="B27" s="53"/>
      <c r="C27" s="54">
        <f t="shared" ref="C27:C35" si="8">C26+1</f>
        <v>2</v>
      </c>
      <c r="D27" s="55"/>
      <c r="E27" s="55"/>
      <c r="F27" s="56">
        <f>H26+$L$2</f>
        <v>0.67013888888888884</v>
      </c>
      <c r="G27" s="56">
        <f t="shared" si="6"/>
        <v>1.3888888888888888E-2</v>
      </c>
      <c r="H27" s="56">
        <f t="shared" si="7"/>
        <v>0.68402777777777768</v>
      </c>
      <c r="I27" s="57" t="s">
        <v>15</v>
      </c>
    </row>
    <row r="28" spans="1:12" x14ac:dyDescent="0.55000000000000004">
      <c r="A28" s="52"/>
      <c r="B28" s="53"/>
      <c r="C28" s="54">
        <f t="shared" si="8"/>
        <v>3</v>
      </c>
      <c r="D28" s="55"/>
      <c r="E28" s="55"/>
      <c r="F28" s="56">
        <f>H27+$L$2</f>
        <v>0.68749999999999989</v>
      </c>
      <c r="G28" s="56">
        <f t="shared" si="6"/>
        <v>1.3888888888888888E-2</v>
      </c>
      <c r="H28" s="56">
        <f t="shared" si="7"/>
        <v>0.70138888888888873</v>
      </c>
      <c r="I28" s="57" t="str">
        <f>I27</f>
        <v>2er</v>
      </c>
    </row>
    <row r="29" spans="1:12" x14ac:dyDescent="0.55000000000000004">
      <c r="A29" s="52"/>
      <c r="B29" s="53"/>
      <c r="C29" s="54">
        <f t="shared" si="8"/>
        <v>4</v>
      </c>
      <c r="D29" s="55"/>
      <c r="E29" s="55"/>
      <c r="F29" s="56">
        <f>H28+$L$2</f>
        <v>0.70486111111111094</v>
      </c>
      <c r="G29" s="56">
        <f t="shared" si="6"/>
        <v>1.3888888888888888E-2</v>
      </c>
      <c r="H29" s="56">
        <f t="shared" si="7"/>
        <v>0.71874999999999978</v>
      </c>
      <c r="I29" s="57" t="str">
        <f>I28</f>
        <v>2er</v>
      </c>
    </row>
    <row r="30" spans="1:12" ht="14.7" thickBot="1" x14ac:dyDescent="0.6">
      <c r="A30" s="58"/>
      <c r="B30" s="59"/>
      <c r="C30" s="60">
        <f t="shared" si="8"/>
        <v>5</v>
      </c>
      <c r="D30" s="61"/>
      <c r="E30" s="61"/>
      <c r="F30" s="62">
        <f>H29+$L$2</f>
        <v>0.72222222222222199</v>
      </c>
      <c r="G30" s="62">
        <f t="shared" si="6"/>
        <v>1.3888888888888888E-2</v>
      </c>
      <c r="H30" s="62">
        <f t="shared" si="7"/>
        <v>0.73611111111111083</v>
      </c>
      <c r="I30" s="63" t="s">
        <v>14</v>
      </c>
    </row>
    <row r="31" spans="1:12" x14ac:dyDescent="0.55000000000000004">
      <c r="A31" s="46" t="s">
        <v>12</v>
      </c>
      <c r="B31" s="47"/>
      <c r="C31" s="48">
        <f t="shared" si="8"/>
        <v>6</v>
      </c>
      <c r="D31" s="49"/>
      <c r="E31" s="49"/>
      <c r="F31" s="50">
        <v>0.65277777777777779</v>
      </c>
      <c r="G31" s="50">
        <f t="shared" si="6"/>
        <v>1.3888888888888888E-2</v>
      </c>
      <c r="H31" s="50">
        <f t="shared" si="7"/>
        <v>0.66666666666666663</v>
      </c>
      <c r="I31" s="51" t="s">
        <v>15</v>
      </c>
    </row>
    <row r="32" spans="1:12" x14ac:dyDescent="0.55000000000000004">
      <c r="A32" s="64"/>
      <c r="B32" s="55"/>
      <c r="C32" s="54">
        <f t="shared" si="8"/>
        <v>7</v>
      </c>
      <c r="D32" s="55"/>
      <c r="E32" s="55"/>
      <c r="F32" s="56">
        <f>H31+$L$2</f>
        <v>0.67013888888888884</v>
      </c>
      <c r="G32" s="56">
        <f t="shared" si="6"/>
        <v>1.3888888888888888E-2</v>
      </c>
      <c r="H32" s="56">
        <f t="shared" si="7"/>
        <v>0.68402777777777768</v>
      </c>
      <c r="I32" s="57" t="s">
        <v>15</v>
      </c>
    </row>
    <row r="33" spans="1:9" x14ac:dyDescent="0.55000000000000004">
      <c r="A33" s="52"/>
      <c r="B33" s="53"/>
      <c r="C33" s="54">
        <f t="shared" si="8"/>
        <v>8</v>
      </c>
      <c r="D33" s="55"/>
      <c r="E33" s="55"/>
      <c r="F33" s="56">
        <f>H32+$L$2</f>
        <v>0.68749999999999989</v>
      </c>
      <c r="G33" s="56">
        <f t="shared" si="6"/>
        <v>1.3888888888888888E-2</v>
      </c>
      <c r="H33" s="56">
        <f t="shared" si="7"/>
        <v>0.70138888888888873</v>
      </c>
      <c r="I33" s="57" t="str">
        <f>I32</f>
        <v>2er</v>
      </c>
    </row>
    <row r="34" spans="1:9" x14ac:dyDescent="0.55000000000000004">
      <c r="A34" s="52"/>
      <c r="B34" s="53"/>
      <c r="C34" s="54">
        <f t="shared" si="8"/>
        <v>9</v>
      </c>
      <c r="D34" s="55"/>
      <c r="E34" s="55"/>
      <c r="F34" s="56">
        <f>H33+$L$2</f>
        <v>0.70486111111111094</v>
      </c>
      <c r="G34" s="56">
        <f t="shared" si="6"/>
        <v>1.3888888888888888E-2</v>
      </c>
      <c r="H34" s="56">
        <f t="shared" si="7"/>
        <v>0.71874999999999978</v>
      </c>
      <c r="I34" s="57" t="str">
        <f>I33</f>
        <v>2er</v>
      </c>
    </row>
    <row r="35" spans="1:9" ht="14.7" thickBot="1" x14ac:dyDescent="0.6">
      <c r="A35" s="58"/>
      <c r="B35" s="59"/>
      <c r="C35" s="60">
        <f t="shared" si="8"/>
        <v>10</v>
      </c>
      <c r="D35" s="61"/>
      <c r="E35" s="61"/>
      <c r="F35" s="62">
        <f>H34+$L$2</f>
        <v>0.72222222222222199</v>
      </c>
      <c r="G35" s="62">
        <f t="shared" si="6"/>
        <v>1.3888888888888888E-2</v>
      </c>
      <c r="H35" s="62">
        <f t="shared" si="7"/>
        <v>0.73611111111111083</v>
      </c>
      <c r="I35" s="63" t="s">
        <v>14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44E3A-3A6E-428B-AFD3-058F90F3F706}">
  <dimension ref="A1:P40"/>
  <sheetViews>
    <sheetView workbookViewId="0">
      <selection activeCell="AC17" sqref="AC17"/>
    </sheetView>
  </sheetViews>
  <sheetFormatPr baseColWidth="10" defaultColWidth="8.83984375" defaultRowHeight="14.4" x14ac:dyDescent="0.55000000000000004"/>
  <cols>
    <col min="1" max="1" width="7.62890625" bestFit="1" customWidth="1"/>
    <col min="2" max="2" width="6.26171875" bestFit="1" customWidth="1"/>
    <col min="3" max="3" width="5.83984375" style="5" bestFit="1" customWidth="1"/>
    <col min="6" max="8" width="8.83984375" style="5"/>
    <col min="9" max="9" width="17.578125" customWidth="1"/>
    <col min="11" max="13" width="8.83984375" hidden="1" customWidth="1"/>
    <col min="14" max="14" width="0" hidden="1" customWidth="1"/>
  </cols>
  <sheetData>
    <row r="1" spans="1:16" ht="14.7" thickBot="1" x14ac:dyDescent="0.6">
      <c r="A1" s="19" t="s">
        <v>6</v>
      </c>
      <c r="B1" s="20" t="s">
        <v>0</v>
      </c>
      <c r="C1" s="21" t="s">
        <v>11</v>
      </c>
      <c r="D1" s="20" t="s">
        <v>7</v>
      </c>
      <c r="E1" s="20" t="s">
        <v>8</v>
      </c>
      <c r="F1" s="21" t="s">
        <v>1</v>
      </c>
      <c r="G1" s="21" t="s">
        <v>2</v>
      </c>
      <c r="H1" s="21" t="s">
        <v>3</v>
      </c>
      <c r="I1" s="22" t="s">
        <v>13</v>
      </c>
      <c r="K1" t="s">
        <v>2</v>
      </c>
      <c r="L1" t="s">
        <v>4</v>
      </c>
    </row>
    <row r="2" spans="1:16" x14ac:dyDescent="0.55000000000000004">
      <c r="A2" s="7" t="s">
        <v>16</v>
      </c>
      <c r="B2" s="8" t="s">
        <v>5</v>
      </c>
      <c r="C2" s="9">
        <v>1</v>
      </c>
      <c r="D2" s="10"/>
      <c r="E2" s="10"/>
      <c r="F2" s="39">
        <v>0.3576388888888889</v>
      </c>
      <c r="G2" s="39">
        <f t="shared" ref="G2:G13" si="0">$K$2</f>
        <v>1.7361111111111112E-2</v>
      </c>
      <c r="H2" s="39">
        <f t="shared" ref="H2:H13" si="1">F2+G2</f>
        <v>0.375</v>
      </c>
      <c r="I2" s="11" t="s">
        <v>15</v>
      </c>
      <c r="K2" s="1">
        <v>1.7361111111111112E-2</v>
      </c>
      <c r="L2" s="1">
        <v>3.472222222222222E-3</v>
      </c>
    </row>
    <row r="3" spans="1:16" x14ac:dyDescent="0.55000000000000004">
      <c r="A3" s="12"/>
      <c r="B3" s="3"/>
      <c r="C3" s="6">
        <f t="shared" ref="C3:C13" si="2">C2+1</f>
        <v>2</v>
      </c>
      <c r="D3" s="4"/>
      <c r="E3" s="4"/>
      <c r="F3" s="40">
        <f>H2+$L$2</f>
        <v>0.37847222222222221</v>
      </c>
      <c r="G3" s="40">
        <f t="shared" si="0"/>
        <v>1.7361111111111112E-2</v>
      </c>
      <c r="H3" s="40">
        <f t="shared" si="1"/>
        <v>0.39583333333333331</v>
      </c>
      <c r="I3" s="13" t="s">
        <v>15</v>
      </c>
    </row>
    <row r="4" spans="1:16" x14ac:dyDescent="0.55000000000000004">
      <c r="A4" s="12"/>
      <c r="B4" s="3"/>
      <c r="C4" s="6">
        <f t="shared" si="2"/>
        <v>3</v>
      </c>
      <c r="D4" s="4"/>
      <c r="E4" s="4"/>
      <c r="F4" s="40">
        <f>H3+$L$2</f>
        <v>0.39930555555555552</v>
      </c>
      <c r="G4" s="40">
        <f t="shared" si="0"/>
        <v>1.7361111111111112E-2</v>
      </c>
      <c r="H4" s="40">
        <f t="shared" si="1"/>
        <v>0.41666666666666663</v>
      </c>
      <c r="I4" s="13" t="str">
        <f>I3</f>
        <v>2er</v>
      </c>
    </row>
    <row r="5" spans="1:16" ht="14.7" thickBot="1" x14ac:dyDescent="0.6">
      <c r="A5" s="14"/>
      <c r="B5" s="15"/>
      <c r="C5" s="6">
        <f t="shared" si="2"/>
        <v>4</v>
      </c>
      <c r="D5" s="4"/>
      <c r="E5" s="4"/>
      <c r="F5" s="40">
        <f>H4+$L$2</f>
        <v>0.42013888888888884</v>
      </c>
      <c r="G5" s="40">
        <f t="shared" si="0"/>
        <v>1.7361111111111112E-2</v>
      </c>
      <c r="H5" s="40">
        <f t="shared" si="1"/>
        <v>0.43749999999999994</v>
      </c>
      <c r="I5" s="18" t="s">
        <v>17</v>
      </c>
    </row>
    <row r="6" spans="1:16" x14ac:dyDescent="0.55000000000000004">
      <c r="A6" s="7" t="s">
        <v>19</v>
      </c>
      <c r="B6" s="8" t="str">
        <f>B2</f>
        <v>ME25f</v>
      </c>
      <c r="C6" s="9">
        <f t="shared" si="2"/>
        <v>5</v>
      </c>
      <c r="D6" s="10"/>
      <c r="E6" s="10"/>
      <c r="F6" s="39">
        <v>0.3576388888888889</v>
      </c>
      <c r="G6" s="39">
        <f t="shared" si="0"/>
        <v>1.7361111111111112E-2</v>
      </c>
      <c r="H6" s="39">
        <f t="shared" si="1"/>
        <v>0.375</v>
      </c>
      <c r="I6" s="11" t="s">
        <v>15</v>
      </c>
    </row>
    <row r="7" spans="1:16" x14ac:dyDescent="0.55000000000000004">
      <c r="A7" s="12"/>
      <c r="B7" s="3"/>
      <c r="C7" s="6">
        <f t="shared" si="2"/>
        <v>6</v>
      </c>
      <c r="D7" s="4"/>
      <c r="E7" s="4"/>
      <c r="F7" s="40">
        <f>H6+$L$2</f>
        <v>0.37847222222222221</v>
      </c>
      <c r="G7" s="40">
        <f t="shared" si="0"/>
        <v>1.7361111111111112E-2</v>
      </c>
      <c r="H7" s="40">
        <f t="shared" si="1"/>
        <v>0.39583333333333331</v>
      </c>
      <c r="I7" s="13" t="s">
        <v>15</v>
      </c>
    </row>
    <row r="8" spans="1:16" x14ac:dyDescent="0.55000000000000004">
      <c r="A8" s="12"/>
      <c r="B8" s="3"/>
      <c r="C8" s="6">
        <f t="shared" si="2"/>
        <v>7</v>
      </c>
      <c r="D8" s="4"/>
      <c r="E8" s="4"/>
      <c r="F8" s="40">
        <f>H7+$L$2</f>
        <v>0.39930555555555552</v>
      </c>
      <c r="G8" s="40">
        <f t="shared" si="0"/>
        <v>1.7361111111111112E-2</v>
      </c>
      <c r="H8" s="40">
        <f t="shared" si="1"/>
        <v>0.41666666666666663</v>
      </c>
      <c r="I8" s="13" t="s">
        <v>15</v>
      </c>
      <c r="P8" t="s">
        <v>20</v>
      </c>
    </row>
    <row r="9" spans="1:16" ht="14.7" thickBot="1" x14ac:dyDescent="0.6">
      <c r="A9" s="14"/>
      <c r="B9" s="15"/>
      <c r="C9" s="16">
        <f t="shared" si="2"/>
        <v>8</v>
      </c>
      <c r="D9" s="17"/>
      <c r="E9" s="17"/>
      <c r="F9" s="41">
        <f>H8+$L$2</f>
        <v>0.42013888888888884</v>
      </c>
      <c r="G9" s="41">
        <f t="shared" si="0"/>
        <v>1.7361111111111112E-2</v>
      </c>
      <c r="H9" s="41">
        <f t="shared" si="1"/>
        <v>0.43749999999999994</v>
      </c>
      <c r="I9" s="18" t="s">
        <v>17</v>
      </c>
    </row>
    <row r="10" spans="1:16" x14ac:dyDescent="0.55000000000000004">
      <c r="A10" s="7" t="s">
        <v>21</v>
      </c>
      <c r="B10" s="8" t="str">
        <f>B6</f>
        <v>ME25f</v>
      </c>
      <c r="C10" s="9">
        <f t="shared" si="2"/>
        <v>9</v>
      </c>
      <c r="D10" s="10"/>
      <c r="E10" s="10"/>
      <c r="F10" s="39">
        <v>0.3576388888888889</v>
      </c>
      <c r="G10" s="39">
        <f t="shared" si="0"/>
        <v>1.7361111111111112E-2</v>
      </c>
      <c r="H10" s="39">
        <f t="shared" si="1"/>
        <v>0.375</v>
      </c>
      <c r="I10" s="11" t="s">
        <v>15</v>
      </c>
    </row>
    <row r="11" spans="1:16" x14ac:dyDescent="0.55000000000000004">
      <c r="A11" s="12"/>
      <c r="B11" s="3"/>
      <c r="C11" s="6">
        <f t="shared" si="2"/>
        <v>10</v>
      </c>
      <c r="D11" s="4"/>
      <c r="E11" s="4"/>
      <c r="F11" s="40">
        <f>H10+$L$2</f>
        <v>0.37847222222222221</v>
      </c>
      <c r="G11" s="40">
        <f t="shared" si="0"/>
        <v>1.7361111111111112E-2</v>
      </c>
      <c r="H11" s="40">
        <f t="shared" si="1"/>
        <v>0.39583333333333331</v>
      </c>
      <c r="I11" s="13" t="s">
        <v>15</v>
      </c>
    </row>
    <row r="12" spans="1:16" x14ac:dyDescent="0.55000000000000004">
      <c r="A12" s="12"/>
      <c r="B12" s="3"/>
      <c r="C12" s="6">
        <f t="shared" si="2"/>
        <v>11</v>
      </c>
      <c r="D12" s="4"/>
      <c r="E12" s="4"/>
      <c r="F12" s="40">
        <f>H11+$L$2</f>
        <v>0.39930555555555552</v>
      </c>
      <c r="G12" s="40">
        <f t="shared" si="0"/>
        <v>1.7361111111111112E-2</v>
      </c>
      <c r="H12" s="40">
        <f t="shared" si="1"/>
        <v>0.41666666666666663</v>
      </c>
      <c r="I12" s="13" t="str">
        <f>I11</f>
        <v>2er</v>
      </c>
    </row>
    <row r="13" spans="1:16" ht="14.7" thickBot="1" x14ac:dyDescent="0.6">
      <c r="A13" s="14"/>
      <c r="B13" s="15"/>
      <c r="C13" s="16">
        <f t="shared" si="2"/>
        <v>12</v>
      </c>
      <c r="D13" s="17"/>
      <c r="E13" s="17"/>
      <c r="F13" s="41">
        <f>H12+$L$2</f>
        <v>0.42013888888888884</v>
      </c>
      <c r="G13" s="41">
        <f t="shared" si="0"/>
        <v>1.7361111111111112E-2</v>
      </c>
      <c r="H13" s="41">
        <f t="shared" si="1"/>
        <v>0.43749999999999994</v>
      </c>
      <c r="I13" s="18" t="s">
        <v>17</v>
      </c>
    </row>
    <row r="14" spans="1:16" ht="14.7" thickBot="1" x14ac:dyDescent="0.6">
      <c r="A14" s="2"/>
      <c r="B14" s="2"/>
      <c r="F14" s="42"/>
      <c r="G14" s="42"/>
      <c r="H14" s="42"/>
      <c r="I14" s="1"/>
    </row>
    <row r="15" spans="1:16" ht="14.7" thickBot="1" x14ac:dyDescent="0.6">
      <c r="A15" s="19" t="s">
        <v>6</v>
      </c>
      <c r="B15" s="20" t="s">
        <v>0</v>
      </c>
      <c r="C15" s="21" t="s">
        <v>11</v>
      </c>
      <c r="D15" s="20" t="s">
        <v>7</v>
      </c>
      <c r="E15" s="20" t="s">
        <v>8</v>
      </c>
      <c r="F15" s="21" t="s">
        <v>1</v>
      </c>
      <c r="G15" s="21" t="s">
        <v>2</v>
      </c>
      <c r="H15" s="21" t="s">
        <v>3</v>
      </c>
      <c r="I15" s="22" t="s">
        <v>13</v>
      </c>
    </row>
    <row r="16" spans="1:16" x14ac:dyDescent="0.55000000000000004">
      <c r="A16" s="23" t="s">
        <v>16</v>
      </c>
      <c r="B16" s="24" t="s">
        <v>10</v>
      </c>
      <c r="C16" s="25">
        <v>1</v>
      </c>
      <c r="D16" s="26"/>
      <c r="E16" s="26"/>
      <c r="F16" s="43">
        <v>0.54166666666666663</v>
      </c>
      <c r="G16" s="43">
        <f t="shared" ref="G16:G27" si="3">$K$2</f>
        <v>1.7361111111111112E-2</v>
      </c>
      <c r="H16" s="43">
        <f t="shared" ref="H16:H27" si="4">F16+G16</f>
        <v>0.55902777777777779</v>
      </c>
      <c r="I16" s="27" t="s">
        <v>15</v>
      </c>
    </row>
    <row r="17" spans="1:9" x14ac:dyDescent="0.55000000000000004">
      <c r="A17" s="28"/>
      <c r="B17" s="29"/>
      <c r="C17" s="30">
        <f t="shared" ref="C17:C27" si="5">C16+1</f>
        <v>2</v>
      </c>
      <c r="D17" s="31"/>
      <c r="E17" s="31"/>
      <c r="F17" s="44">
        <f>H16+$L$2</f>
        <v>0.5625</v>
      </c>
      <c r="G17" s="44">
        <f t="shared" si="3"/>
        <v>1.7361111111111112E-2</v>
      </c>
      <c r="H17" s="44">
        <f t="shared" si="4"/>
        <v>0.57986111111111116</v>
      </c>
      <c r="I17" s="32" t="s">
        <v>15</v>
      </c>
    </row>
    <row r="18" spans="1:9" x14ac:dyDescent="0.55000000000000004">
      <c r="A18" s="28"/>
      <c r="B18" s="29"/>
      <c r="C18" s="30">
        <f t="shared" si="5"/>
        <v>3</v>
      </c>
      <c r="D18" s="31"/>
      <c r="E18" s="31"/>
      <c r="F18" s="44">
        <f>H17+$L$2</f>
        <v>0.58333333333333337</v>
      </c>
      <c r="G18" s="44">
        <f t="shared" si="3"/>
        <v>1.7361111111111112E-2</v>
      </c>
      <c r="H18" s="44">
        <f t="shared" si="4"/>
        <v>0.60069444444444453</v>
      </c>
      <c r="I18" s="32" t="str">
        <f>I17</f>
        <v>2er</v>
      </c>
    </row>
    <row r="19" spans="1:9" ht="14.7" thickBot="1" x14ac:dyDescent="0.6">
      <c r="A19" s="33"/>
      <c r="B19" s="34"/>
      <c r="C19" s="30">
        <f t="shared" si="5"/>
        <v>4</v>
      </c>
      <c r="D19" s="31"/>
      <c r="E19" s="31"/>
      <c r="F19" s="44">
        <f>H18+$L$2</f>
        <v>0.60416666666666674</v>
      </c>
      <c r="G19" s="44">
        <f t="shared" si="3"/>
        <v>1.7361111111111112E-2</v>
      </c>
      <c r="H19" s="44">
        <f t="shared" si="4"/>
        <v>0.6215277777777779</v>
      </c>
      <c r="I19" s="37" t="s">
        <v>17</v>
      </c>
    </row>
    <row r="20" spans="1:9" x14ac:dyDescent="0.55000000000000004">
      <c r="A20" s="23" t="s">
        <v>19</v>
      </c>
      <c r="B20" s="24" t="str">
        <f>B16</f>
        <v>ME25e</v>
      </c>
      <c r="C20" s="25">
        <f t="shared" si="5"/>
        <v>5</v>
      </c>
      <c r="D20" s="26"/>
      <c r="E20" s="26"/>
      <c r="F20" s="43">
        <v>0.54166666666666663</v>
      </c>
      <c r="G20" s="43">
        <f t="shared" si="3"/>
        <v>1.7361111111111112E-2</v>
      </c>
      <c r="H20" s="43">
        <f t="shared" si="4"/>
        <v>0.55902777777777779</v>
      </c>
      <c r="I20" s="27" t="s">
        <v>15</v>
      </c>
    </row>
    <row r="21" spans="1:9" x14ac:dyDescent="0.55000000000000004">
      <c r="A21" s="28"/>
      <c r="B21" s="29"/>
      <c r="C21" s="30">
        <f t="shared" si="5"/>
        <v>6</v>
      </c>
      <c r="D21" s="31"/>
      <c r="E21" s="31"/>
      <c r="F21" s="44">
        <f>H20+$L$2</f>
        <v>0.5625</v>
      </c>
      <c r="G21" s="44">
        <f t="shared" si="3"/>
        <v>1.7361111111111112E-2</v>
      </c>
      <c r="H21" s="44">
        <f t="shared" si="4"/>
        <v>0.57986111111111116</v>
      </c>
      <c r="I21" s="32" t="s">
        <v>15</v>
      </c>
    </row>
    <row r="22" spans="1:9" x14ac:dyDescent="0.55000000000000004">
      <c r="A22" s="28"/>
      <c r="B22" s="29"/>
      <c r="C22" s="30">
        <f t="shared" si="5"/>
        <v>7</v>
      </c>
      <c r="D22" s="31"/>
      <c r="E22" s="31"/>
      <c r="F22" s="44">
        <f>H21+$L$2</f>
        <v>0.58333333333333337</v>
      </c>
      <c r="G22" s="44">
        <f t="shared" si="3"/>
        <v>1.7361111111111112E-2</v>
      </c>
      <c r="H22" s="44">
        <f t="shared" si="4"/>
        <v>0.60069444444444453</v>
      </c>
      <c r="I22" s="32" t="s">
        <v>15</v>
      </c>
    </row>
    <row r="23" spans="1:9" ht="14.7" thickBot="1" x14ac:dyDescent="0.6">
      <c r="A23" s="33"/>
      <c r="B23" s="34"/>
      <c r="C23" s="35">
        <f t="shared" si="5"/>
        <v>8</v>
      </c>
      <c r="D23" s="36"/>
      <c r="E23" s="36"/>
      <c r="F23" s="45">
        <f>H22+$L$2</f>
        <v>0.60416666666666674</v>
      </c>
      <c r="G23" s="45">
        <f t="shared" si="3"/>
        <v>1.7361111111111112E-2</v>
      </c>
      <c r="H23" s="45">
        <f t="shared" si="4"/>
        <v>0.6215277777777779</v>
      </c>
      <c r="I23" s="37" t="str">
        <f>I22</f>
        <v>2er</v>
      </c>
    </row>
    <row r="24" spans="1:9" x14ac:dyDescent="0.55000000000000004">
      <c r="A24" s="23" t="s">
        <v>21</v>
      </c>
      <c r="B24" s="24" t="str">
        <f>B20</f>
        <v>ME25e</v>
      </c>
      <c r="C24" s="25">
        <f t="shared" si="5"/>
        <v>9</v>
      </c>
      <c r="D24" s="26"/>
      <c r="E24" s="26"/>
      <c r="F24" s="43">
        <v>0.54166666666666663</v>
      </c>
      <c r="G24" s="43">
        <f t="shared" si="3"/>
        <v>1.7361111111111112E-2</v>
      </c>
      <c r="H24" s="43">
        <f t="shared" si="4"/>
        <v>0.55902777777777779</v>
      </c>
      <c r="I24" s="27" t="s">
        <v>15</v>
      </c>
    </row>
    <row r="25" spans="1:9" x14ac:dyDescent="0.55000000000000004">
      <c r="A25" s="28"/>
      <c r="B25" s="29"/>
      <c r="C25" s="30">
        <f t="shared" si="5"/>
        <v>10</v>
      </c>
      <c r="D25" s="31"/>
      <c r="E25" s="31"/>
      <c r="F25" s="44">
        <f>H24+$L$2</f>
        <v>0.5625</v>
      </c>
      <c r="G25" s="44">
        <f t="shared" si="3"/>
        <v>1.7361111111111112E-2</v>
      </c>
      <c r="H25" s="44">
        <f t="shared" si="4"/>
        <v>0.57986111111111116</v>
      </c>
      <c r="I25" s="32" t="s">
        <v>15</v>
      </c>
    </row>
    <row r="26" spans="1:9" x14ac:dyDescent="0.55000000000000004">
      <c r="A26" s="28"/>
      <c r="B26" s="29"/>
      <c r="C26" s="30">
        <f t="shared" si="5"/>
        <v>11</v>
      </c>
      <c r="D26" s="31"/>
      <c r="E26" s="31"/>
      <c r="F26" s="44">
        <f>H25+$L$2</f>
        <v>0.58333333333333337</v>
      </c>
      <c r="G26" s="44">
        <f t="shared" si="3"/>
        <v>1.7361111111111112E-2</v>
      </c>
      <c r="H26" s="44">
        <f t="shared" si="4"/>
        <v>0.60069444444444453</v>
      </c>
      <c r="I26" s="32" t="str">
        <f>I25</f>
        <v>2er</v>
      </c>
    </row>
    <row r="27" spans="1:9" ht="14.7" thickBot="1" x14ac:dyDescent="0.6">
      <c r="A27" s="33"/>
      <c r="B27" s="34"/>
      <c r="C27" s="35">
        <f t="shared" si="5"/>
        <v>12</v>
      </c>
      <c r="D27" s="36"/>
      <c r="E27" s="36"/>
      <c r="F27" s="45">
        <f>H26+$L$2</f>
        <v>0.60416666666666674</v>
      </c>
      <c r="G27" s="45">
        <f t="shared" si="3"/>
        <v>1.7361111111111112E-2</v>
      </c>
      <c r="H27" s="45">
        <f t="shared" si="4"/>
        <v>0.6215277777777779</v>
      </c>
      <c r="I27" s="37" t="s">
        <v>17</v>
      </c>
    </row>
    <row r="28" spans="1:9" ht="14.7" thickBot="1" x14ac:dyDescent="0.6">
      <c r="A28" s="2"/>
      <c r="B28" s="2"/>
    </row>
    <row r="29" spans="1:9" ht="14.7" thickBot="1" x14ac:dyDescent="0.6">
      <c r="A29" s="19" t="s">
        <v>6</v>
      </c>
      <c r="B29" s="20" t="s">
        <v>0</v>
      </c>
      <c r="C29" s="21" t="s">
        <v>11</v>
      </c>
      <c r="D29" s="20" t="s">
        <v>7</v>
      </c>
      <c r="E29" s="20" t="s">
        <v>8</v>
      </c>
      <c r="F29" s="21" t="s">
        <v>1</v>
      </c>
      <c r="G29" s="21" t="s">
        <v>2</v>
      </c>
      <c r="H29" s="21" t="s">
        <v>3</v>
      </c>
      <c r="I29" s="22" t="s">
        <v>13</v>
      </c>
    </row>
    <row r="30" spans="1:9" x14ac:dyDescent="0.55000000000000004">
      <c r="A30" s="46" t="s">
        <v>16</v>
      </c>
      <c r="B30" s="47" t="s">
        <v>18</v>
      </c>
      <c r="C30" s="48">
        <v>1</v>
      </c>
      <c r="D30" s="49"/>
      <c r="E30" s="49"/>
      <c r="F30" s="50">
        <v>0.65277777777777779</v>
      </c>
      <c r="G30" s="50">
        <f t="shared" ref="G30:G40" si="6">$K$2</f>
        <v>1.7361111111111112E-2</v>
      </c>
      <c r="H30" s="50">
        <f t="shared" ref="H30:H40" si="7">F30+G30</f>
        <v>0.67013888888888895</v>
      </c>
      <c r="I30" s="51" t="s">
        <v>15</v>
      </c>
    </row>
    <row r="31" spans="1:9" x14ac:dyDescent="0.55000000000000004">
      <c r="A31" s="52"/>
      <c r="B31" s="53"/>
      <c r="C31" s="54">
        <f t="shared" ref="C31:C40" si="8">C30+1</f>
        <v>2</v>
      </c>
      <c r="D31" s="55"/>
      <c r="E31" s="55"/>
      <c r="F31" s="56">
        <f>H30+$L$2</f>
        <v>0.67361111111111116</v>
      </c>
      <c r="G31" s="56">
        <f t="shared" si="6"/>
        <v>1.7361111111111112E-2</v>
      </c>
      <c r="H31" s="56">
        <f t="shared" si="7"/>
        <v>0.69097222222222232</v>
      </c>
      <c r="I31" s="57" t="s">
        <v>15</v>
      </c>
    </row>
    <row r="32" spans="1:9" x14ac:dyDescent="0.55000000000000004">
      <c r="A32" s="52"/>
      <c r="B32" s="53"/>
      <c r="C32" s="54">
        <f t="shared" si="8"/>
        <v>3</v>
      </c>
      <c r="D32" s="55"/>
      <c r="E32" s="55"/>
      <c r="F32" s="56">
        <f>H31+$L$2</f>
        <v>0.69444444444444453</v>
      </c>
      <c r="G32" s="56">
        <f t="shared" si="6"/>
        <v>1.7361111111111112E-2</v>
      </c>
      <c r="H32" s="56">
        <f t="shared" si="7"/>
        <v>0.71180555555555569</v>
      </c>
      <c r="I32" s="57" t="str">
        <f>I31</f>
        <v>2er</v>
      </c>
    </row>
    <row r="33" spans="1:9" ht="14.7" thickBot="1" x14ac:dyDescent="0.6">
      <c r="A33" s="58"/>
      <c r="B33" s="59"/>
      <c r="C33" s="54">
        <f t="shared" si="8"/>
        <v>4</v>
      </c>
      <c r="D33" s="55"/>
      <c r="E33" s="55"/>
      <c r="F33" s="56">
        <f>H32+$L$2</f>
        <v>0.7152777777777779</v>
      </c>
      <c r="G33" s="56">
        <f t="shared" si="6"/>
        <v>1.7361111111111112E-2</v>
      </c>
      <c r="H33" s="56">
        <f t="shared" si="7"/>
        <v>0.73263888888888906</v>
      </c>
      <c r="I33" s="63" t="str">
        <f>I32</f>
        <v>2er</v>
      </c>
    </row>
    <row r="34" spans="1:9" x14ac:dyDescent="0.55000000000000004">
      <c r="A34" s="46" t="s">
        <v>19</v>
      </c>
      <c r="B34" s="47" t="str">
        <f>B30</f>
        <v>ME25d</v>
      </c>
      <c r="C34" s="48">
        <f t="shared" si="8"/>
        <v>5</v>
      </c>
      <c r="D34" s="49"/>
      <c r="E34" s="49"/>
      <c r="F34" s="50">
        <f>F30</f>
        <v>0.65277777777777779</v>
      </c>
      <c r="G34" s="50">
        <f t="shared" si="6"/>
        <v>1.7361111111111112E-2</v>
      </c>
      <c r="H34" s="50">
        <f t="shared" si="7"/>
        <v>0.67013888888888895</v>
      </c>
      <c r="I34" s="51" t="s">
        <v>15</v>
      </c>
    </row>
    <row r="35" spans="1:9" x14ac:dyDescent="0.55000000000000004">
      <c r="A35" s="52"/>
      <c r="B35" s="53"/>
      <c r="C35" s="54">
        <f t="shared" si="8"/>
        <v>6</v>
      </c>
      <c r="D35" s="55"/>
      <c r="E35" s="55"/>
      <c r="F35" s="56">
        <f>H34+$L$2</f>
        <v>0.67361111111111116</v>
      </c>
      <c r="G35" s="56">
        <f t="shared" si="6"/>
        <v>1.7361111111111112E-2</v>
      </c>
      <c r="H35" s="56">
        <f t="shared" si="7"/>
        <v>0.69097222222222232</v>
      </c>
      <c r="I35" s="57" t="s">
        <v>15</v>
      </c>
    </row>
    <row r="36" spans="1:9" x14ac:dyDescent="0.55000000000000004">
      <c r="A36" s="52"/>
      <c r="B36" s="53"/>
      <c r="C36" s="54">
        <f t="shared" si="8"/>
        <v>7</v>
      </c>
      <c r="D36" s="55"/>
      <c r="E36" s="55"/>
      <c r="F36" s="56">
        <f>H35+$L$2</f>
        <v>0.69444444444444453</v>
      </c>
      <c r="G36" s="56">
        <f t="shared" si="6"/>
        <v>1.7361111111111112E-2</v>
      </c>
      <c r="H36" s="56">
        <f t="shared" si="7"/>
        <v>0.71180555555555569</v>
      </c>
      <c r="I36" s="57" t="s">
        <v>15</v>
      </c>
    </row>
    <row r="37" spans="1:9" ht="14.7" thickBot="1" x14ac:dyDescent="0.6">
      <c r="A37" s="58"/>
      <c r="B37" s="59"/>
      <c r="C37" s="60">
        <f t="shared" si="8"/>
        <v>8</v>
      </c>
      <c r="D37" s="61"/>
      <c r="E37" s="61"/>
      <c r="F37" s="62">
        <f>H36+$L$2</f>
        <v>0.7152777777777779</v>
      </c>
      <c r="G37" s="62">
        <f t="shared" si="6"/>
        <v>1.7361111111111112E-2</v>
      </c>
      <c r="H37" s="62">
        <f t="shared" si="7"/>
        <v>0.73263888888888906</v>
      </c>
      <c r="I37" s="63" t="str">
        <f>I36</f>
        <v>2er</v>
      </c>
    </row>
    <row r="38" spans="1:9" x14ac:dyDescent="0.55000000000000004">
      <c r="A38" s="46" t="s">
        <v>21</v>
      </c>
      <c r="B38" s="47" t="str">
        <f>B34</f>
        <v>ME25d</v>
      </c>
      <c r="C38" s="48">
        <f t="shared" si="8"/>
        <v>9</v>
      </c>
      <c r="D38" s="49"/>
      <c r="E38" s="49"/>
      <c r="F38" s="50">
        <f>F34</f>
        <v>0.65277777777777779</v>
      </c>
      <c r="G38" s="50">
        <f t="shared" si="6"/>
        <v>1.7361111111111112E-2</v>
      </c>
      <c r="H38" s="50">
        <f t="shared" si="7"/>
        <v>0.67013888888888895</v>
      </c>
      <c r="I38" s="51" t="s">
        <v>15</v>
      </c>
    </row>
    <row r="39" spans="1:9" x14ac:dyDescent="0.55000000000000004">
      <c r="A39" s="52"/>
      <c r="B39" s="53"/>
      <c r="C39" s="54">
        <f t="shared" si="8"/>
        <v>10</v>
      </c>
      <c r="D39" s="55"/>
      <c r="E39" s="55"/>
      <c r="F39" s="56">
        <f>H38+$L$2</f>
        <v>0.67361111111111116</v>
      </c>
      <c r="G39" s="56">
        <f t="shared" si="6"/>
        <v>1.7361111111111112E-2</v>
      </c>
      <c r="H39" s="56">
        <f t="shared" si="7"/>
        <v>0.69097222222222232</v>
      </c>
      <c r="I39" s="57" t="s">
        <v>15</v>
      </c>
    </row>
    <row r="40" spans="1:9" ht="14.7" thickBot="1" x14ac:dyDescent="0.6">
      <c r="A40" s="58"/>
      <c r="B40" s="59"/>
      <c r="C40" s="60">
        <f t="shared" si="8"/>
        <v>11</v>
      </c>
      <c r="D40" s="61"/>
      <c r="E40" s="61"/>
      <c r="F40" s="62">
        <f>H39+$L$2</f>
        <v>0.69444444444444453</v>
      </c>
      <c r="G40" s="62">
        <f t="shared" si="6"/>
        <v>1.7361111111111112E-2</v>
      </c>
      <c r="H40" s="62">
        <f t="shared" si="7"/>
        <v>0.71180555555555569</v>
      </c>
      <c r="I40" s="63" t="str">
        <f>I39</f>
        <v>2er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5021-B10E-4BDF-9F52-6E3AC5E62C4C}">
  <sheetPr>
    <pageSetUpPr fitToPage="1"/>
  </sheetPr>
  <dimension ref="A1:M68"/>
  <sheetViews>
    <sheetView tabSelected="1" topLeftCell="E54" zoomScaleNormal="100" workbookViewId="0">
      <selection activeCell="J63" sqref="J63"/>
    </sheetView>
  </sheetViews>
  <sheetFormatPr baseColWidth="10" defaultRowHeight="14.4" x14ac:dyDescent="0.55000000000000004"/>
  <cols>
    <col min="1" max="1" width="2.41796875" bestFit="1" customWidth="1"/>
    <col min="2" max="2" width="7.9453125" style="5" bestFit="1" customWidth="1"/>
    <col min="3" max="3" width="40.47265625" bestFit="1" customWidth="1"/>
    <col min="4" max="4" width="70.20703125" customWidth="1"/>
    <col min="8" max="8" width="11.62890625" bestFit="1" customWidth="1"/>
    <col min="9" max="9" width="6.578125" customWidth="1"/>
    <col min="10" max="10" width="7.68359375" style="5" bestFit="1" customWidth="1"/>
    <col min="11" max="11" width="36.20703125" customWidth="1"/>
    <col min="12" max="12" width="7.05078125" style="5" bestFit="1" customWidth="1"/>
    <col min="13" max="13" width="36.3671875" customWidth="1"/>
  </cols>
  <sheetData>
    <row r="1" spans="1:13" ht="20.399999999999999" x14ac:dyDescent="0.75">
      <c r="A1" s="65"/>
      <c r="B1" s="196"/>
      <c r="C1" s="66" t="s">
        <v>38</v>
      </c>
      <c r="D1" s="197" t="s">
        <v>112</v>
      </c>
      <c r="E1" s="197" t="s">
        <v>114</v>
      </c>
      <c r="F1" s="197" t="s">
        <v>113</v>
      </c>
      <c r="G1" s="197" t="s">
        <v>115</v>
      </c>
      <c r="H1" s="67" t="s">
        <v>116</v>
      </c>
      <c r="J1" s="202" t="s">
        <v>25</v>
      </c>
      <c r="K1" s="203"/>
      <c r="L1" s="202" t="s">
        <v>26</v>
      </c>
      <c r="M1" s="203"/>
    </row>
    <row r="2" spans="1:13" ht="20.399999999999999" x14ac:dyDescent="0.75">
      <c r="A2" s="198"/>
      <c r="B2" s="193"/>
      <c r="C2" s="194" t="s">
        <v>111</v>
      </c>
      <c r="D2" s="217">
        <f>$E$50</f>
        <v>40</v>
      </c>
      <c r="E2" s="195">
        <f>D2*0.8</f>
        <v>32</v>
      </c>
      <c r="F2" s="195">
        <f>D2*0.6</f>
        <v>24</v>
      </c>
      <c r="G2" s="195">
        <f>D2*0.4</f>
        <v>16</v>
      </c>
      <c r="H2" s="199">
        <f>D2*0.2</f>
        <v>8</v>
      </c>
      <c r="J2" s="204" t="s">
        <v>109</v>
      </c>
      <c r="K2" s="205">
        <f>J68</f>
        <v>0</v>
      </c>
      <c r="L2" s="204" t="s">
        <v>109</v>
      </c>
      <c r="M2" s="205">
        <f>L68</f>
        <v>0</v>
      </c>
    </row>
    <row r="3" spans="1:13" ht="20.7" thickBot="1" x14ac:dyDescent="0.8">
      <c r="A3" s="188"/>
      <c r="B3" s="191"/>
      <c r="C3" s="192" t="s">
        <v>27</v>
      </c>
      <c r="D3" s="192"/>
      <c r="E3" s="200"/>
      <c r="F3" s="201"/>
      <c r="G3" s="201"/>
      <c r="H3" s="68"/>
      <c r="J3" s="206" t="s">
        <v>29</v>
      </c>
      <c r="K3" s="207">
        <f>(5*K2/$E$2)+1</f>
        <v>1</v>
      </c>
      <c r="L3" s="206" t="s">
        <v>29</v>
      </c>
      <c r="M3" s="207">
        <f>(5*M2/$E$2)+1</f>
        <v>1</v>
      </c>
    </row>
    <row r="4" spans="1:13" ht="20.7" thickBot="1" x14ac:dyDescent="0.8">
      <c r="A4" s="69"/>
      <c r="B4" s="69"/>
      <c r="C4" s="70"/>
      <c r="D4" s="70"/>
      <c r="E4" s="71"/>
      <c r="F4" s="71"/>
      <c r="G4" s="71"/>
      <c r="H4" s="71"/>
      <c r="J4" s="72"/>
      <c r="K4" s="73"/>
      <c r="L4" s="72"/>
      <c r="M4" s="73"/>
    </row>
    <row r="5" spans="1:13" ht="20.7" thickBot="1" x14ac:dyDescent="0.8">
      <c r="A5" s="208" t="s">
        <v>65</v>
      </c>
      <c r="B5" s="86" t="s">
        <v>64</v>
      </c>
      <c r="C5" s="87" t="s">
        <v>24</v>
      </c>
      <c r="D5" s="101" t="s">
        <v>22</v>
      </c>
      <c r="E5" s="123" t="s">
        <v>44</v>
      </c>
      <c r="F5" s="123" t="s">
        <v>45</v>
      </c>
      <c r="G5" s="99" t="s">
        <v>46</v>
      </c>
      <c r="H5" s="99">
        <v>0</v>
      </c>
      <c r="J5" s="75" t="str">
        <f>J$1</f>
        <v>LuL1</v>
      </c>
      <c r="K5" s="76" t="s">
        <v>110</v>
      </c>
      <c r="L5" s="75" t="str">
        <f>L$1</f>
        <v>LuL2</v>
      </c>
      <c r="M5" s="76" t="str">
        <f>K5</f>
        <v>Kommentare</v>
      </c>
    </row>
    <row r="6" spans="1:13" ht="15.6" x14ac:dyDescent="0.6">
      <c r="A6" s="185">
        <v>1</v>
      </c>
      <c r="B6" s="81">
        <f>B59+1</f>
        <v>2</v>
      </c>
      <c r="C6" s="82" t="s">
        <v>28</v>
      </c>
      <c r="D6" s="100" t="s">
        <v>76</v>
      </c>
      <c r="E6" s="141">
        <v>3</v>
      </c>
      <c r="F6" s="78"/>
      <c r="G6" s="78"/>
      <c r="H6" s="78"/>
      <c r="J6" s="146"/>
      <c r="K6" s="147"/>
      <c r="L6" s="148"/>
      <c r="M6" s="79"/>
    </row>
    <row r="7" spans="1:13" ht="15.6" x14ac:dyDescent="0.6">
      <c r="A7" s="186"/>
      <c r="B7" s="81"/>
      <c r="C7" s="82"/>
      <c r="D7" s="95" t="s">
        <v>77</v>
      </c>
      <c r="E7" s="142"/>
      <c r="F7" s="88"/>
      <c r="G7" s="88"/>
      <c r="H7" s="88"/>
      <c r="J7" s="148"/>
      <c r="K7" s="149"/>
      <c r="L7" s="150"/>
      <c r="M7" s="84"/>
    </row>
    <row r="8" spans="1:13" ht="15.9" thickBot="1" x14ac:dyDescent="0.65">
      <c r="A8" s="186"/>
      <c r="B8" s="91"/>
      <c r="C8" s="92"/>
      <c r="D8" s="113" t="s">
        <v>78</v>
      </c>
      <c r="E8" s="143"/>
      <c r="F8" s="93"/>
      <c r="G8" s="93"/>
      <c r="H8" s="93"/>
      <c r="J8" s="151"/>
      <c r="K8" s="152"/>
      <c r="L8" s="151"/>
      <c r="M8" s="80"/>
    </row>
    <row r="9" spans="1:13" ht="15.6" x14ac:dyDescent="0.6">
      <c r="A9" s="186"/>
      <c r="B9" s="81">
        <f>B6+1</f>
        <v>3</v>
      </c>
      <c r="C9" s="82" t="s">
        <v>31</v>
      </c>
      <c r="D9" s="100" t="s">
        <v>32</v>
      </c>
      <c r="E9" s="141">
        <v>3</v>
      </c>
      <c r="F9" s="78"/>
      <c r="G9" s="78"/>
      <c r="H9" s="78"/>
      <c r="J9" s="146"/>
      <c r="K9" s="147"/>
      <c r="L9" s="146"/>
      <c r="M9" s="77"/>
    </row>
    <row r="10" spans="1:13" ht="15.6" x14ac:dyDescent="0.6">
      <c r="A10" s="186"/>
      <c r="B10" s="81"/>
      <c r="C10" s="82"/>
      <c r="D10" s="96" t="s">
        <v>33</v>
      </c>
      <c r="E10" s="142"/>
      <c r="F10" s="88"/>
      <c r="G10" s="88"/>
      <c r="H10" s="88"/>
      <c r="J10" s="148"/>
      <c r="K10" s="153"/>
      <c r="L10" s="148"/>
      <c r="M10" s="79"/>
    </row>
    <row r="11" spans="1:13" ht="15.9" thickBot="1" x14ac:dyDescent="0.65">
      <c r="A11" s="186"/>
      <c r="B11" s="91"/>
      <c r="C11" s="92"/>
      <c r="D11" s="98" t="s">
        <v>79</v>
      </c>
      <c r="E11" s="143"/>
      <c r="F11" s="93"/>
      <c r="G11" s="93"/>
      <c r="H11" s="93"/>
      <c r="J11" s="148"/>
      <c r="K11" s="153"/>
      <c r="L11" s="148"/>
      <c r="M11" s="79"/>
    </row>
    <row r="12" spans="1:13" ht="15.6" x14ac:dyDescent="0.6">
      <c r="A12" s="186"/>
      <c r="B12" s="81">
        <f>B9+1</f>
        <v>4</v>
      </c>
      <c r="C12" s="82" t="s">
        <v>34</v>
      </c>
      <c r="D12" s="96" t="s">
        <v>35</v>
      </c>
      <c r="E12" s="141">
        <v>3</v>
      </c>
      <c r="F12" s="85"/>
      <c r="G12" s="85"/>
      <c r="H12" s="85"/>
      <c r="J12" s="146"/>
      <c r="K12" s="147"/>
      <c r="L12" s="146"/>
      <c r="M12" s="77"/>
    </row>
    <row r="13" spans="1:13" ht="15.6" x14ac:dyDescent="0.6">
      <c r="A13" s="186"/>
      <c r="B13" s="81"/>
      <c r="C13" s="82"/>
      <c r="D13" s="95" t="s">
        <v>36</v>
      </c>
      <c r="E13" s="142"/>
      <c r="F13" s="88"/>
      <c r="G13" s="88"/>
      <c r="H13" s="88"/>
      <c r="J13" s="154"/>
      <c r="K13" s="155"/>
      <c r="L13" s="154"/>
      <c r="M13" s="83"/>
    </row>
    <row r="14" spans="1:13" ht="15.9" thickBot="1" x14ac:dyDescent="0.65">
      <c r="A14" s="187"/>
      <c r="B14" s="91"/>
      <c r="C14" s="92"/>
      <c r="D14" s="98" t="s">
        <v>37</v>
      </c>
      <c r="E14" s="143"/>
      <c r="F14" s="93"/>
      <c r="G14" s="93"/>
      <c r="H14" s="93"/>
      <c r="J14" s="151"/>
      <c r="K14" s="152"/>
      <c r="L14" s="151"/>
      <c r="M14" s="80"/>
    </row>
    <row r="15" spans="1:13" ht="20.7" thickBot="1" x14ac:dyDescent="0.8">
      <c r="A15" s="209" t="str">
        <f>A$5</f>
        <v>#</v>
      </c>
      <c r="B15" s="86" t="str">
        <f>B$5</f>
        <v>#.#</v>
      </c>
      <c r="C15" s="87" t="s">
        <v>53</v>
      </c>
      <c r="D15" s="101" t="str">
        <f>$D5</f>
        <v>Kriterien</v>
      </c>
      <c r="E15" s="123" t="str">
        <f>E$5</f>
        <v>+++</v>
      </c>
      <c r="F15" s="123" t="str">
        <f>F$5</f>
        <v>++</v>
      </c>
      <c r="G15" s="99" t="str">
        <f>G$5</f>
        <v>+</v>
      </c>
      <c r="H15" s="99">
        <f>H$5</f>
        <v>0</v>
      </c>
      <c r="J15" s="156" t="str">
        <f>J$5</f>
        <v>LuL1</v>
      </c>
      <c r="K15" s="76" t="str">
        <f>$K$5</f>
        <v>Kommentare</v>
      </c>
      <c r="L15" s="156" t="str">
        <f>L$5</f>
        <v>LuL2</v>
      </c>
      <c r="M15" s="76" t="str">
        <f>$K$5</f>
        <v>Kommentare</v>
      </c>
    </row>
    <row r="16" spans="1:13" ht="15.6" x14ac:dyDescent="0.6">
      <c r="A16" s="185">
        <f>A6+1</f>
        <v>2</v>
      </c>
      <c r="B16" s="89">
        <v>1</v>
      </c>
      <c r="C16" s="90" t="s">
        <v>54</v>
      </c>
      <c r="D16" s="97" t="s">
        <v>80</v>
      </c>
      <c r="E16" s="141">
        <v>3</v>
      </c>
      <c r="F16" s="78"/>
      <c r="G16" s="78"/>
      <c r="H16" s="78"/>
      <c r="J16" s="146"/>
      <c r="K16" s="147"/>
      <c r="L16" s="146"/>
      <c r="M16" s="77"/>
    </row>
    <row r="17" spans="1:13" ht="15.6" x14ac:dyDescent="0.6">
      <c r="A17" s="186"/>
      <c r="B17" s="81"/>
      <c r="C17" s="82"/>
      <c r="D17" s="96" t="s">
        <v>81</v>
      </c>
      <c r="E17" s="142"/>
      <c r="F17" s="88"/>
      <c r="G17" s="88"/>
      <c r="H17" s="88"/>
      <c r="J17" s="148"/>
      <c r="K17" s="153"/>
      <c r="L17" s="148"/>
      <c r="M17" s="79"/>
    </row>
    <row r="18" spans="1:13" ht="31.8" customHeight="1" thickBot="1" x14ac:dyDescent="0.65">
      <c r="A18" s="186"/>
      <c r="B18" s="91"/>
      <c r="C18" s="92"/>
      <c r="D18" s="105" t="s">
        <v>82</v>
      </c>
      <c r="E18" s="143"/>
      <c r="F18" s="93"/>
      <c r="G18" s="93"/>
      <c r="H18" s="93"/>
      <c r="J18" s="148"/>
      <c r="K18" s="153"/>
      <c r="L18" s="148"/>
      <c r="M18" s="79"/>
    </row>
    <row r="19" spans="1:13" ht="28.8" x14ac:dyDescent="0.6">
      <c r="A19" s="186"/>
      <c r="B19" s="81">
        <f>B16+1</f>
        <v>2</v>
      </c>
      <c r="C19" s="82" t="s">
        <v>63</v>
      </c>
      <c r="D19" s="100" t="s">
        <v>83</v>
      </c>
      <c r="E19" s="141">
        <v>3</v>
      </c>
      <c r="F19" s="78"/>
      <c r="G19" s="78"/>
      <c r="H19" s="78"/>
      <c r="J19" s="146"/>
      <c r="K19" s="147"/>
      <c r="L19" s="146"/>
      <c r="M19" s="77"/>
    </row>
    <row r="20" spans="1:13" ht="15.6" x14ac:dyDescent="0.6">
      <c r="A20" s="186"/>
      <c r="B20" s="81"/>
      <c r="C20" s="82"/>
      <c r="D20" s="95" t="s">
        <v>84</v>
      </c>
      <c r="E20" s="142"/>
      <c r="F20" s="88"/>
      <c r="G20" s="88"/>
      <c r="H20" s="88"/>
      <c r="J20" s="154"/>
      <c r="K20" s="155"/>
      <c r="L20" s="154"/>
      <c r="M20" s="83"/>
    </row>
    <row r="21" spans="1:13" ht="15.9" thickBot="1" x14ac:dyDescent="0.65">
      <c r="A21" s="187"/>
      <c r="B21" s="91"/>
      <c r="C21" s="92"/>
      <c r="D21" s="98" t="s">
        <v>85</v>
      </c>
      <c r="E21" s="143"/>
      <c r="F21" s="93"/>
      <c r="G21" s="93"/>
      <c r="H21" s="93"/>
      <c r="J21" s="151"/>
      <c r="K21" s="152"/>
      <c r="L21" s="151"/>
      <c r="M21" s="80"/>
    </row>
    <row r="22" spans="1:13" ht="20.7" thickBot="1" x14ac:dyDescent="0.8">
      <c r="A22" s="208" t="str">
        <f>A$5</f>
        <v>#</v>
      </c>
      <c r="B22" s="86" t="str">
        <f>B$5</f>
        <v>#.#</v>
      </c>
      <c r="C22" s="87" t="s">
        <v>48</v>
      </c>
      <c r="D22" s="101" t="str">
        <f>D15</f>
        <v>Kriterien</v>
      </c>
      <c r="E22" s="123" t="str">
        <f>E5</f>
        <v>+++</v>
      </c>
      <c r="F22" s="123" t="str">
        <f>F5</f>
        <v>++</v>
      </c>
      <c r="G22" s="99" t="str">
        <f>G5</f>
        <v>+</v>
      </c>
      <c r="H22" s="99">
        <f>H5</f>
        <v>0</v>
      </c>
      <c r="J22" s="156" t="str">
        <f>J$5</f>
        <v>LuL1</v>
      </c>
      <c r="K22" s="76" t="str">
        <f>$K$5</f>
        <v>Kommentare</v>
      </c>
      <c r="L22" s="156" t="str">
        <f>L$5</f>
        <v>LuL2</v>
      </c>
      <c r="M22" s="76" t="str">
        <f>$K$5</f>
        <v>Kommentare</v>
      </c>
    </row>
    <row r="23" spans="1:13" ht="32.700000000000003" customHeight="1" x14ac:dyDescent="0.6">
      <c r="A23" s="185">
        <f>A16+1</f>
        <v>3</v>
      </c>
      <c r="B23" s="89">
        <v>1</v>
      </c>
      <c r="C23" s="90" t="s">
        <v>55</v>
      </c>
      <c r="D23" s="97" t="s">
        <v>88</v>
      </c>
      <c r="E23" s="141">
        <v>4</v>
      </c>
      <c r="F23" s="78"/>
      <c r="G23" s="78"/>
      <c r="H23" s="78"/>
      <c r="J23" s="146"/>
      <c r="K23" s="147"/>
      <c r="L23" s="146"/>
      <c r="M23" s="77"/>
    </row>
    <row r="24" spans="1:13" ht="15.6" x14ac:dyDescent="0.6">
      <c r="A24" s="186"/>
      <c r="B24" s="81"/>
      <c r="C24" s="82"/>
      <c r="D24" s="96" t="s">
        <v>86</v>
      </c>
      <c r="E24" s="142"/>
      <c r="F24" s="88"/>
      <c r="G24" s="88"/>
      <c r="H24" s="88"/>
      <c r="J24" s="148"/>
      <c r="K24" s="153"/>
      <c r="L24" s="148"/>
      <c r="M24" s="79"/>
    </row>
    <row r="25" spans="1:13" ht="15.6" x14ac:dyDescent="0.6">
      <c r="A25" s="186"/>
      <c r="B25" s="81"/>
      <c r="C25" s="82"/>
      <c r="D25" s="184" t="s">
        <v>87</v>
      </c>
      <c r="E25" s="142"/>
      <c r="F25" s="88"/>
      <c r="G25" s="88"/>
      <c r="H25" s="88"/>
      <c r="J25" s="148"/>
      <c r="K25" s="153"/>
      <c r="L25" s="148"/>
      <c r="M25" s="79"/>
    </row>
    <row r="26" spans="1:13" ht="15.9" thickBot="1" x14ac:dyDescent="0.65">
      <c r="A26" s="186"/>
      <c r="B26" s="91"/>
      <c r="C26" s="92"/>
      <c r="D26" s="105" t="s">
        <v>120</v>
      </c>
      <c r="E26" s="143"/>
      <c r="F26" s="93"/>
      <c r="G26" s="93"/>
      <c r="H26" s="93"/>
      <c r="J26" s="148"/>
      <c r="K26" s="153"/>
      <c r="L26" s="148"/>
      <c r="M26" s="79"/>
    </row>
    <row r="27" spans="1:13" ht="15.6" x14ac:dyDescent="0.6">
      <c r="A27" s="186"/>
      <c r="B27" s="81">
        <f>B23+1</f>
        <v>2</v>
      </c>
      <c r="C27" s="82" t="s">
        <v>56</v>
      </c>
      <c r="D27" s="100" t="s">
        <v>89</v>
      </c>
      <c r="E27" s="141">
        <v>3</v>
      </c>
      <c r="F27" s="78"/>
      <c r="G27" s="78"/>
      <c r="H27" s="78"/>
      <c r="J27" s="146"/>
      <c r="K27" s="147"/>
      <c r="L27" s="146"/>
      <c r="M27" s="77"/>
    </row>
    <row r="28" spans="1:13" ht="15.6" x14ac:dyDescent="0.6">
      <c r="A28" s="186"/>
      <c r="B28" s="81"/>
      <c r="C28" s="82"/>
      <c r="D28" s="95" t="s">
        <v>90</v>
      </c>
      <c r="E28" s="142"/>
      <c r="F28" s="88"/>
      <c r="G28" s="88"/>
      <c r="H28" s="88"/>
      <c r="J28" s="154"/>
      <c r="K28" s="155"/>
      <c r="L28" s="154"/>
      <c r="M28" s="83"/>
    </row>
    <row r="29" spans="1:13" ht="15.9" thickBot="1" x14ac:dyDescent="0.65">
      <c r="A29" s="186"/>
      <c r="B29" s="91"/>
      <c r="C29" s="92"/>
      <c r="D29" s="105" t="s">
        <v>91</v>
      </c>
      <c r="E29" s="143"/>
      <c r="F29" s="93"/>
      <c r="G29" s="93"/>
      <c r="H29" s="93"/>
      <c r="J29" s="151"/>
      <c r="K29" s="152"/>
      <c r="L29" s="151"/>
      <c r="M29" s="80"/>
    </row>
    <row r="30" spans="1:13" ht="28.8" x14ac:dyDescent="0.6">
      <c r="A30" s="186"/>
      <c r="B30" s="89">
        <f>B27+1</f>
        <v>3</v>
      </c>
      <c r="C30" s="90" t="s">
        <v>57</v>
      </c>
      <c r="D30" s="94" t="s">
        <v>92</v>
      </c>
      <c r="E30" s="141">
        <v>3</v>
      </c>
      <c r="F30" s="78"/>
      <c r="G30" s="78"/>
      <c r="H30" s="78"/>
      <c r="J30" s="146"/>
      <c r="K30" s="147"/>
      <c r="L30" s="146"/>
      <c r="M30" s="77"/>
    </row>
    <row r="31" spans="1:13" ht="15.6" x14ac:dyDescent="0.6">
      <c r="A31" s="186"/>
      <c r="B31" s="81"/>
      <c r="C31" s="82"/>
      <c r="D31" s="95" t="s">
        <v>93</v>
      </c>
      <c r="E31" s="142"/>
      <c r="F31" s="88"/>
      <c r="G31" s="88"/>
      <c r="H31" s="88"/>
      <c r="J31" s="154"/>
      <c r="K31" s="155"/>
      <c r="L31" s="154"/>
      <c r="M31" s="83"/>
    </row>
    <row r="32" spans="1:13" ht="15.9" thickBot="1" x14ac:dyDescent="0.65">
      <c r="A32" s="186"/>
      <c r="B32" s="91"/>
      <c r="C32" s="92"/>
      <c r="D32" s="98" t="s">
        <v>94</v>
      </c>
      <c r="E32" s="143"/>
      <c r="F32" s="93"/>
      <c r="G32" s="93"/>
      <c r="H32" s="93"/>
      <c r="J32" s="151"/>
      <c r="K32" s="152"/>
      <c r="L32" s="151"/>
      <c r="M32" s="80"/>
    </row>
    <row r="33" spans="1:13" ht="28.8" x14ac:dyDescent="0.6">
      <c r="A33" s="186"/>
      <c r="B33" s="89">
        <f>B30+1</f>
        <v>4</v>
      </c>
      <c r="C33" s="90" t="s">
        <v>58</v>
      </c>
      <c r="D33" s="94" t="s">
        <v>95</v>
      </c>
      <c r="E33" s="141">
        <v>3</v>
      </c>
      <c r="F33" s="78"/>
      <c r="G33" s="78"/>
      <c r="H33" s="78"/>
      <c r="J33" s="146"/>
      <c r="K33" s="147"/>
      <c r="L33" s="146"/>
      <c r="M33" s="77"/>
    </row>
    <row r="34" spans="1:13" ht="34.5" customHeight="1" x14ac:dyDescent="0.6">
      <c r="A34" s="186"/>
      <c r="B34" s="81"/>
      <c r="C34" s="82"/>
      <c r="D34" s="95" t="s">
        <v>119</v>
      </c>
      <c r="E34" s="142"/>
      <c r="F34" s="88"/>
      <c r="G34" s="88"/>
      <c r="H34" s="88"/>
      <c r="J34" s="154"/>
      <c r="K34" s="155"/>
      <c r="L34" s="154"/>
      <c r="M34" s="83"/>
    </row>
    <row r="35" spans="1:13" ht="21.3" customHeight="1" thickBot="1" x14ac:dyDescent="0.65">
      <c r="A35" s="187"/>
      <c r="B35" s="91"/>
      <c r="C35" s="92"/>
      <c r="D35" s="98" t="s">
        <v>96</v>
      </c>
      <c r="E35" s="143"/>
      <c r="F35" s="93"/>
      <c r="G35" s="93"/>
      <c r="H35" s="93"/>
      <c r="J35" s="151"/>
      <c r="K35" s="152"/>
      <c r="L35" s="151"/>
      <c r="M35" s="80"/>
    </row>
    <row r="36" spans="1:13" ht="20.7" thickBot="1" x14ac:dyDescent="0.8">
      <c r="A36" s="209" t="str">
        <f>A$5</f>
        <v>#</v>
      </c>
      <c r="B36" s="86" t="str">
        <f>B$5</f>
        <v>#.#</v>
      </c>
      <c r="C36" s="87" t="s">
        <v>49</v>
      </c>
      <c r="D36" s="101" t="str">
        <f>D22</f>
        <v>Kriterien</v>
      </c>
      <c r="E36" s="123" t="str">
        <f>E22</f>
        <v>+++</v>
      </c>
      <c r="F36" s="123" t="str">
        <f>F22</f>
        <v>++</v>
      </c>
      <c r="G36" s="99" t="str">
        <f>G22</f>
        <v>+</v>
      </c>
      <c r="H36" s="99">
        <f>H22</f>
        <v>0</v>
      </c>
      <c r="J36" s="156" t="str">
        <f>J$5</f>
        <v>LuL1</v>
      </c>
      <c r="K36" s="76" t="str">
        <f>$K$5</f>
        <v>Kommentare</v>
      </c>
      <c r="L36" s="156" t="str">
        <f>L$5</f>
        <v>LuL2</v>
      </c>
      <c r="M36" s="76" t="str">
        <f>$K$5</f>
        <v>Kommentare</v>
      </c>
    </row>
    <row r="37" spans="1:13" ht="15.6" x14ac:dyDescent="0.6">
      <c r="A37" s="185">
        <f>A23+1</f>
        <v>4</v>
      </c>
      <c r="B37" s="89">
        <v>1</v>
      </c>
      <c r="C37" s="112" t="s">
        <v>59</v>
      </c>
      <c r="D37" s="97" t="s">
        <v>97</v>
      </c>
      <c r="E37" s="141">
        <v>3</v>
      </c>
      <c r="F37" s="78"/>
      <c r="G37" s="78"/>
      <c r="H37" s="78"/>
      <c r="J37" s="146"/>
      <c r="K37" s="147"/>
      <c r="L37" s="146"/>
      <c r="M37" s="77"/>
    </row>
    <row r="38" spans="1:13" ht="15.6" x14ac:dyDescent="0.6">
      <c r="A38" s="186"/>
      <c r="B38" s="81"/>
      <c r="C38" s="82"/>
      <c r="D38" s="96" t="s">
        <v>98</v>
      </c>
      <c r="E38" s="142"/>
      <c r="F38" s="88"/>
      <c r="G38" s="88"/>
      <c r="H38" s="88"/>
      <c r="J38" s="148"/>
      <c r="K38" s="153"/>
      <c r="L38" s="148"/>
      <c r="M38" s="79"/>
    </row>
    <row r="39" spans="1:13" ht="15.9" thickBot="1" x14ac:dyDescent="0.65">
      <c r="A39" s="187"/>
      <c r="B39" s="91"/>
      <c r="C39" s="92"/>
      <c r="D39" s="105" t="s">
        <v>99</v>
      </c>
      <c r="E39" s="143"/>
      <c r="F39" s="93"/>
      <c r="G39" s="93"/>
      <c r="H39" s="93"/>
      <c r="J39" s="151"/>
      <c r="K39" s="152"/>
      <c r="L39" s="151"/>
      <c r="M39" s="80"/>
    </row>
    <row r="40" spans="1:13" ht="20.7" thickBot="1" x14ac:dyDescent="0.8">
      <c r="A40" s="209" t="str">
        <f>A$5</f>
        <v>#</v>
      </c>
      <c r="B40" s="86" t="str">
        <f>B$5</f>
        <v>#.#</v>
      </c>
      <c r="C40" s="87" t="s">
        <v>50</v>
      </c>
      <c r="D40" s="101" t="str">
        <f>D36</f>
        <v>Kriterien</v>
      </c>
      <c r="E40" s="123" t="str">
        <f>E36</f>
        <v>+++</v>
      </c>
      <c r="F40" s="123" t="str">
        <f>F36</f>
        <v>++</v>
      </c>
      <c r="G40" s="99" t="str">
        <f>G36</f>
        <v>+</v>
      </c>
      <c r="H40" s="99">
        <f>H36</f>
        <v>0</v>
      </c>
      <c r="J40" s="156" t="str">
        <f>J$5</f>
        <v>LuL1</v>
      </c>
      <c r="K40" s="76" t="str">
        <f>$K$5</f>
        <v>Kommentare</v>
      </c>
      <c r="L40" s="156" t="str">
        <f>L$5</f>
        <v>LuL2</v>
      </c>
      <c r="M40" s="76" t="str">
        <f>$K$5</f>
        <v>Kommentare</v>
      </c>
    </row>
    <row r="41" spans="1:13" ht="30.6" customHeight="1" x14ac:dyDescent="0.6">
      <c r="A41" s="185">
        <f>A37+1</f>
        <v>5</v>
      </c>
      <c r="B41" s="89">
        <v>1</v>
      </c>
      <c r="C41" s="112" t="s">
        <v>60</v>
      </c>
      <c r="D41" s="166" t="s">
        <v>100</v>
      </c>
      <c r="E41" s="141">
        <v>3</v>
      </c>
      <c r="F41" s="78"/>
      <c r="G41" s="78"/>
      <c r="H41" s="78"/>
      <c r="J41" s="146"/>
      <c r="K41" s="147"/>
      <c r="L41" s="146"/>
      <c r="M41" s="77"/>
    </row>
    <row r="42" spans="1:13" ht="30.3" customHeight="1" x14ac:dyDescent="0.6">
      <c r="A42" s="186"/>
      <c r="B42" s="81"/>
      <c r="C42" s="82"/>
      <c r="D42" s="167" t="s">
        <v>101</v>
      </c>
      <c r="E42" s="142"/>
      <c r="F42" s="88"/>
      <c r="G42" s="88"/>
      <c r="H42" s="88"/>
      <c r="J42" s="148"/>
      <c r="K42" s="153"/>
      <c r="L42" s="148"/>
      <c r="M42" s="79"/>
    </row>
    <row r="43" spans="1:13" ht="30.9" customHeight="1" thickBot="1" x14ac:dyDescent="0.65">
      <c r="A43" s="186"/>
      <c r="B43" s="91"/>
      <c r="C43" s="92"/>
      <c r="D43" s="168" t="s">
        <v>102</v>
      </c>
      <c r="E43" s="143"/>
      <c r="F43" s="93"/>
      <c r="G43" s="93"/>
      <c r="H43" s="93"/>
      <c r="J43" s="148"/>
      <c r="K43" s="153"/>
      <c r="L43" s="148"/>
      <c r="M43" s="79"/>
    </row>
    <row r="44" spans="1:13" ht="28.8" x14ac:dyDescent="0.6">
      <c r="A44" s="186"/>
      <c r="B44" s="81">
        <f>B41+1</f>
        <v>2</v>
      </c>
      <c r="C44" s="82" t="s">
        <v>61</v>
      </c>
      <c r="D44" s="100" t="s">
        <v>103</v>
      </c>
      <c r="E44" s="141">
        <v>3</v>
      </c>
      <c r="F44" s="78"/>
      <c r="G44" s="78"/>
      <c r="H44" s="78"/>
      <c r="J44" s="146"/>
      <c r="K44" s="147"/>
      <c r="L44" s="146"/>
      <c r="M44" s="77"/>
    </row>
    <row r="45" spans="1:13" ht="29.1" customHeight="1" x14ac:dyDescent="0.6">
      <c r="A45" s="186"/>
      <c r="B45" s="81"/>
      <c r="C45" s="82"/>
      <c r="D45" s="95" t="s">
        <v>104</v>
      </c>
      <c r="E45" s="142"/>
      <c r="F45" s="88"/>
      <c r="G45" s="88"/>
      <c r="H45" s="88"/>
      <c r="J45" s="154"/>
      <c r="K45" s="155"/>
      <c r="L45" s="154"/>
      <c r="M45" s="83"/>
    </row>
    <row r="46" spans="1:13" ht="21" customHeight="1" thickBot="1" x14ac:dyDescent="0.65">
      <c r="A46" s="186"/>
      <c r="B46" s="91"/>
      <c r="C46" s="92"/>
      <c r="D46" s="98" t="s">
        <v>105</v>
      </c>
      <c r="E46" s="143"/>
      <c r="F46" s="93"/>
      <c r="G46" s="93"/>
      <c r="H46" s="93"/>
      <c r="J46" s="151"/>
      <c r="K46" s="152"/>
      <c r="L46" s="151"/>
      <c r="M46" s="80"/>
    </row>
    <row r="47" spans="1:13" ht="28.8" x14ac:dyDescent="0.6">
      <c r="A47" s="186"/>
      <c r="B47" s="81">
        <f>B44+1</f>
        <v>3</v>
      </c>
      <c r="C47" s="90" t="s">
        <v>62</v>
      </c>
      <c r="D47" s="100" t="s">
        <v>106</v>
      </c>
      <c r="E47" s="141">
        <v>3</v>
      </c>
      <c r="F47" s="78"/>
      <c r="G47" s="78"/>
      <c r="H47" s="78"/>
      <c r="J47" s="146"/>
      <c r="K47" s="147"/>
      <c r="L47" s="146"/>
      <c r="M47" s="77"/>
    </row>
    <row r="48" spans="1:13" ht="31.5" customHeight="1" x14ac:dyDescent="0.6">
      <c r="A48" s="186"/>
      <c r="B48" s="81"/>
      <c r="C48" s="82"/>
      <c r="D48" s="95" t="s">
        <v>107</v>
      </c>
      <c r="E48" s="142"/>
      <c r="F48" s="88"/>
      <c r="G48" s="88"/>
      <c r="H48" s="88"/>
      <c r="J48" s="154"/>
      <c r="K48" s="155"/>
      <c r="L48" s="154"/>
      <c r="M48" s="83"/>
    </row>
    <row r="49" spans="1:13" ht="24.9" customHeight="1" thickBot="1" x14ac:dyDescent="0.65">
      <c r="A49" s="187"/>
      <c r="B49" s="91"/>
      <c r="C49" s="92"/>
      <c r="D49" s="98" t="s">
        <v>108</v>
      </c>
      <c r="E49" s="143"/>
      <c r="F49" s="93"/>
      <c r="G49" s="93"/>
      <c r="H49" s="93"/>
      <c r="J49" s="150"/>
      <c r="K49" s="149"/>
      <c r="L49" s="151"/>
      <c r="M49" s="80"/>
    </row>
    <row r="50" spans="1:13" ht="20.7" thickBot="1" x14ac:dyDescent="0.8">
      <c r="A50" s="218"/>
      <c r="B50" s="103"/>
      <c r="C50" s="74" t="s">
        <v>43</v>
      </c>
      <c r="D50" s="125"/>
      <c r="E50" s="158">
        <f>SUM(E6:E49)</f>
        <v>40</v>
      </c>
      <c r="F50" s="104"/>
      <c r="G50" s="104"/>
      <c r="H50" s="104"/>
      <c r="J50" s="156">
        <f>SUM(J6:J49)</f>
        <v>0</v>
      </c>
      <c r="K50" s="102"/>
      <c r="L50" s="156">
        <f>SUM(L6:L49)</f>
        <v>0</v>
      </c>
      <c r="M50" s="102"/>
    </row>
    <row r="51" spans="1:13" ht="14.7" thickBot="1" x14ac:dyDescent="0.6">
      <c r="E51" s="144"/>
      <c r="J51" s="145"/>
      <c r="K51" s="144"/>
      <c r="L51" s="145"/>
    </row>
    <row r="52" spans="1:13" ht="20.7" thickBot="1" x14ac:dyDescent="0.8">
      <c r="A52" s="211" t="str">
        <f>A$5</f>
        <v>#</v>
      </c>
      <c r="B52" s="210" t="str">
        <f>B$5</f>
        <v>#.#</v>
      </c>
      <c r="C52" s="173" t="s">
        <v>23</v>
      </c>
      <c r="D52" s="174" t="str">
        <f>D40</f>
        <v>Kriterien</v>
      </c>
      <c r="E52" s="175" t="str">
        <f>E40</f>
        <v>+++</v>
      </c>
      <c r="F52" s="176" t="str">
        <f>F40</f>
        <v>++</v>
      </c>
      <c r="G52" s="176" t="str">
        <f>G40</f>
        <v>+</v>
      </c>
      <c r="H52" s="176">
        <f>H40</f>
        <v>0</v>
      </c>
      <c r="J52" s="156" t="str">
        <f>J$5</f>
        <v>LuL1</v>
      </c>
      <c r="K52" s="76" t="str">
        <f>$K$5</f>
        <v>Kommentare</v>
      </c>
      <c r="L52" s="156" t="str">
        <f>L$5</f>
        <v>LuL2</v>
      </c>
      <c r="M52" s="76" t="str">
        <f>$K$5</f>
        <v>Kommentare</v>
      </c>
    </row>
    <row r="53" spans="1:13" ht="29.1" thickBot="1" x14ac:dyDescent="0.65">
      <c r="A53" s="212">
        <f>A41+1</f>
        <v>6</v>
      </c>
      <c r="B53" s="106">
        <v>1</v>
      </c>
      <c r="C53" s="107" t="s">
        <v>69</v>
      </c>
      <c r="D53" s="129" t="s">
        <v>40</v>
      </c>
      <c r="E53" s="134">
        <v>3</v>
      </c>
      <c r="F53" s="108"/>
      <c r="G53" s="108"/>
      <c r="H53" s="108"/>
      <c r="J53" s="146"/>
      <c r="K53" s="147"/>
      <c r="L53" s="146"/>
      <c r="M53" s="77"/>
    </row>
    <row r="54" spans="1:13" ht="33.6" customHeight="1" thickBot="1" x14ac:dyDescent="0.65">
      <c r="A54" s="213"/>
      <c r="B54" s="127"/>
      <c r="C54" s="128"/>
      <c r="D54" s="130" t="s">
        <v>41</v>
      </c>
      <c r="E54" s="134">
        <v>3</v>
      </c>
      <c r="F54" s="132"/>
      <c r="G54" s="132"/>
      <c r="H54" s="132"/>
      <c r="J54" s="154"/>
      <c r="K54" s="155"/>
      <c r="L54" s="154"/>
      <c r="M54" s="83"/>
    </row>
    <row r="55" spans="1:13" ht="34.799999999999997" customHeight="1" thickBot="1" x14ac:dyDescent="0.65">
      <c r="A55" s="214"/>
      <c r="B55" s="109"/>
      <c r="C55" s="110"/>
      <c r="D55" s="131" t="s">
        <v>51</v>
      </c>
      <c r="E55" s="134">
        <v>3</v>
      </c>
      <c r="F55" s="133"/>
      <c r="G55" s="133"/>
      <c r="H55" s="133"/>
      <c r="J55" s="154"/>
      <c r="K55" s="155"/>
      <c r="L55" s="157"/>
      <c r="M55" s="111"/>
    </row>
    <row r="56" spans="1:13" ht="20.7" thickBot="1" x14ac:dyDescent="0.8">
      <c r="A56" s="218"/>
      <c r="B56" s="103"/>
      <c r="C56" s="74" t="s">
        <v>43</v>
      </c>
      <c r="D56" s="125"/>
      <c r="E56" s="158">
        <f>SUM(E53:E55)</f>
        <v>9</v>
      </c>
      <c r="F56" s="104"/>
      <c r="G56" s="104"/>
      <c r="H56" s="104"/>
      <c r="J56" s="156">
        <f>SUM(J53:J55)</f>
        <v>0</v>
      </c>
      <c r="K56" s="102"/>
      <c r="L56" s="156">
        <f>SUM(L53:L55)</f>
        <v>0</v>
      </c>
      <c r="M56" s="102"/>
    </row>
    <row r="57" spans="1:13" ht="14.7" thickBot="1" x14ac:dyDescent="0.6">
      <c r="E57" s="144"/>
      <c r="J57" s="145"/>
      <c r="K57" s="144"/>
      <c r="L57" s="145"/>
    </row>
    <row r="58" spans="1:13" ht="20.7" thickBot="1" x14ac:dyDescent="0.8">
      <c r="A58" s="216" t="str">
        <f>A$5</f>
        <v>#</v>
      </c>
      <c r="B58" s="215" t="str">
        <f>B$5</f>
        <v>#.#</v>
      </c>
      <c r="C58" s="177" t="s">
        <v>42</v>
      </c>
      <c r="D58" s="178" t="str">
        <f>D52</f>
        <v>Kriterien</v>
      </c>
      <c r="E58" s="180" t="s">
        <v>71</v>
      </c>
      <c r="F58" s="181" t="s">
        <v>72</v>
      </c>
      <c r="G58" s="179" t="s">
        <v>47</v>
      </c>
      <c r="H58" s="179">
        <f>H46</f>
        <v>0</v>
      </c>
      <c r="J58" s="156" t="str">
        <f>J$5</f>
        <v>LuL1</v>
      </c>
      <c r="K58" s="76" t="str">
        <f>$K$5</f>
        <v>Kommentare</v>
      </c>
      <c r="L58" s="156" t="str">
        <f>L$5</f>
        <v>LuL2</v>
      </c>
      <c r="M58" s="76" t="str">
        <f>$K$5</f>
        <v>Kommentare</v>
      </c>
    </row>
    <row r="59" spans="1:13" ht="15.6" x14ac:dyDescent="0.6">
      <c r="A59" s="189">
        <f>A53+1</f>
        <v>7</v>
      </c>
      <c r="B59" s="114">
        <v>1</v>
      </c>
      <c r="C59" s="115" t="s">
        <v>117</v>
      </c>
      <c r="D59" s="116" t="s">
        <v>67</v>
      </c>
      <c r="E59" s="136">
        <f>$E$50*-0.05</f>
        <v>-2</v>
      </c>
      <c r="F59" s="139"/>
      <c r="G59" s="139"/>
      <c r="H59" s="118"/>
      <c r="J59" s="146"/>
      <c r="K59" s="147"/>
      <c r="L59" s="148"/>
      <c r="M59" s="79"/>
    </row>
    <row r="60" spans="1:13" ht="15.6" x14ac:dyDescent="0.6">
      <c r="A60" s="190"/>
      <c r="B60" s="114"/>
      <c r="C60" s="115"/>
      <c r="D60" s="124" t="s">
        <v>68</v>
      </c>
      <c r="E60" s="136"/>
      <c r="F60" s="139"/>
      <c r="G60" s="139"/>
      <c r="H60" s="118"/>
      <c r="J60" s="148"/>
      <c r="K60" s="149"/>
      <c r="L60" s="150"/>
      <c r="M60" s="84"/>
    </row>
    <row r="61" spans="1:13" ht="29.1" thickBot="1" x14ac:dyDescent="0.65">
      <c r="A61" s="190"/>
      <c r="B61" s="114"/>
      <c r="C61" s="115"/>
      <c r="D61" s="182" t="s">
        <v>66</v>
      </c>
      <c r="E61" s="169"/>
      <c r="F61" s="170"/>
      <c r="G61" s="170"/>
      <c r="H61" s="171"/>
      <c r="J61" s="151"/>
      <c r="K61" s="152"/>
      <c r="L61" s="151"/>
      <c r="M61" s="80"/>
    </row>
    <row r="62" spans="1:13" ht="20.7" customHeight="1" x14ac:dyDescent="0.6">
      <c r="A62" s="190"/>
      <c r="B62" s="160">
        <f>B59+1</f>
        <v>2</v>
      </c>
      <c r="C62" s="161" t="s">
        <v>118</v>
      </c>
      <c r="D62" s="183" t="s">
        <v>73</v>
      </c>
      <c r="E62" s="135">
        <f>$E$50*-0.05</f>
        <v>-2</v>
      </c>
      <c r="F62" s="138"/>
      <c r="G62" s="138"/>
      <c r="H62" s="117"/>
      <c r="J62" s="146"/>
      <c r="K62" s="147"/>
      <c r="L62" s="146"/>
      <c r="M62" s="77"/>
    </row>
    <row r="63" spans="1:13" ht="17.100000000000001" customHeight="1" x14ac:dyDescent="0.6">
      <c r="A63" s="190"/>
      <c r="B63" s="114"/>
      <c r="C63" s="115"/>
      <c r="D63" s="124" t="s">
        <v>74</v>
      </c>
      <c r="E63" s="136"/>
      <c r="F63" s="139"/>
      <c r="G63" s="139"/>
      <c r="H63" s="118"/>
      <c r="J63" s="154"/>
      <c r="K63" s="155"/>
      <c r="L63" s="154"/>
      <c r="M63" s="83"/>
    </row>
    <row r="64" spans="1:13" ht="33.299999999999997" customHeight="1" thickBot="1" x14ac:dyDescent="0.65">
      <c r="A64" s="190"/>
      <c r="B64" s="119"/>
      <c r="C64" s="120"/>
      <c r="D64" s="121" t="s">
        <v>75</v>
      </c>
      <c r="E64" s="137"/>
      <c r="F64" s="140"/>
      <c r="G64" s="140"/>
      <c r="H64" s="122"/>
      <c r="J64" s="151"/>
      <c r="K64" s="152"/>
      <c r="L64" s="151"/>
      <c r="M64" s="80"/>
    </row>
    <row r="65" spans="1:13" ht="34.799999999999997" customHeight="1" thickBot="1" x14ac:dyDescent="0.65">
      <c r="A65" s="190"/>
      <c r="B65" s="159">
        <f>B62+1</f>
        <v>3</v>
      </c>
      <c r="C65" s="172" t="s">
        <v>70</v>
      </c>
      <c r="D65" s="162" t="s">
        <v>52</v>
      </c>
      <c r="E65" s="163">
        <f>$E$50*-0.1</f>
        <v>-4</v>
      </c>
      <c r="F65" s="164"/>
      <c r="G65" s="164"/>
      <c r="H65" s="165"/>
      <c r="J65" s="154"/>
      <c r="K65" s="155"/>
      <c r="L65" s="154"/>
      <c r="M65" s="83"/>
    </row>
    <row r="66" spans="1:13" ht="20.7" thickBot="1" x14ac:dyDescent="0.8">
      <c r="A66" s="218"/>
      <c r="B66" s="103"/>
      <c r="C66" s="74" t="s">
        <v>43</v>
      </c>
      <c r="D66" s="125"/>
      <c r="E66" s="158">
        <f>SUM(E59:E65)</f>
        <v>-8</v>
      </c>
      <c r="F66" s="104"/>
      <c r="G66" s="104"/>
      <c r="H66" s="104"/>
      <c r="J66" s="158">
        <f>SUM(J59:J65)</f>
        <v>0</v>
      </c>
      <c r="K66" s="102"/>
      <c r="L66" s="158">
        <f>SUM(L59:L65)</f>
        <v>0</v>
      </c>
      <c r="M66" s="102"/>
    </row>
    <row r="67" spans="1:13" ht="14.7" thickBot="1" x14ac:dyDescent="0.6">
      <c r="J67"/>
      <c r="K67" s="144"/>
      <c r="L67"/>
    </row>
    <row r="68" spans="1:13" ht="20.7" thickBot="1" x14ac:dyDescent="0.8">
      <c r="A68" s="218"/>
      <c r="B68" s="103"/>
      <c r="C68" s="74" t="s">
        <v>30</v>
      </c>
      <c r="D68" s="125"/>
      <c r="E68" s="158">
        <f>E50+E56+E66</f>
        <v>41</v>
      </c>
      <c r="F68" s="126"/>
      <c r="G68" s="104"/>
      <c r="H68" s="104"/>
      <c r="J68" s="158">
        <f>J50+J56+J66</f>
        <v>0</v>
      </c>
      <c r="K68" s="102"/>
      <c r="L68" s="158">
        <f>L50+L56+L66</f>
        <v>0</v>
      </c>
      <c r="M68" s="102"/>
    </row>
  </sheetData>
  <pageMargins left="0.7" right="0.7" top="0.78740157499999996" bottom="0.78740157499999996" header="0.3" footer="0.3"/>
  <pageSetup paperSize="9" scale="3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LB1-Termine</vt:lpstr>
      <vt:lpstr>LB2-Termine</vt:lpstr>
      <vt:lpstr>LB1_Bewertungsraster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Demir</dc:creator>
  <cp:lastModifiedBy>Demir,  Volkan (BZZ)</cp:lastModifiedBy>
  <cp:lastPrinted>2026-02-10T11:03:31Z</cp:lastPrinted>
  <dcterms:created xsi:type="dcterms:W3CDTF">2015-06-05T18:19:34Z</dcterms:created>
  <dcterms:modified xsi:type="dcterms:W3CDTF">2026-02-27T06:57:41Z</dcterms:modified>
</cp:coreProperties>
</file>