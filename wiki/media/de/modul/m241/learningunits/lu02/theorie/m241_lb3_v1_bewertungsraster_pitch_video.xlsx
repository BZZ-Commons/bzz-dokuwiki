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bzzch-my.sharepoint.com/personal/volkan_demir_bzz_ch/Documents/Downloads/"/>
    </mc:Choice>
  </mc:AlternateContent>
  <xr:revisionPtr revIDLastSave="95" documentId="13_ncr:1_{08DBB220-2F85-4C49-8FEC-F272EC3EEF99}" xr6:coauthVersionLast="47" xr6:coauthVersionMax="47" xr10:uidLastSave="{AE60E938-2456-429A-B4F4-2C445EA9E16D}"/>
  <bookViews>
    <workbookView xWindow="57480" yWindow="-120" windowWidth="51840" windowHeight="21120" firstSheet="1" activeTab="1" xr2:uid="{00000000-000D-0000-FFFF-FFFF00000000}"/>
  </bookViews>
  <sheets>
    <sheet name="TimeSlots" sheetId="16" r:id="rId1"/>
    <sheet name="EndPresi_GR1" sheetId="5" r:id="rId2"/>
    <sheet name="EndPresi_GR2" sheetId="7" r:id="rId3"/>
    <sheet name="EndPresi_GR3" sheetId="8" r:id="rId4"/>
    <sheet name="EndPresi_GR4" sheetId="6" r:id="rId5"/>
    <sheet name="EndPresi_GR5" sheetId="9" r:id="rId6"/>
    <sheet name="EndPresi_GR6" sheetId="10" r:id="rId7"/>
    <sheet name="EndPresi_GR7" sheetId="11" r:id="rId8"/>
    <sheet name="EndPresi_GR8" sheetId="12" r:id="rId9"/>
    <sheet name="EndPresi_GR9" sheetId="13" r:id="rId10"/>
    <sheet name="EndPresi_GR10" sheetId="14" r:id="rId11"/>
    <sheet name="EndPresi_GR11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5" l="1"/>
  <c r="A33" i="5"/>
  <c r="A27" i="5" l="1"/>
  <c r="A16" i="5"/>
  <c r="A15" i="5"/>
  <c r="A14" i="5"/>
  <c r="A13" i="5"/>
  <c r="C18" i="5"/>
  <c r="A29" i="5" l="1"/>
  <c r="D18" i="5"/>
  <c r="B15" i="16"/>
  <c r="B14" i="16"/>
  <c r="B13" i="16"/>
  <c r="B12" i="16"/>
  <c r="B11" i="16"/>
  <c r="B10" i="16"/>
  <c r="B9" i="16"/>
  <c r="B8" i="16"/>
  <c r="B7" i="16"/>
  <c r="B6" i="16"/>
  <c r="B5" i="16"/>
  <c r="B4" i="16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4" i="16"/>
  <c r="C14" i="16"/>
  <c r="D10" i="5" l="1"/>
  <c r="D30" i="5" s="1"/>
  <c r="D29" i="5"/>
  <c r="H18" i="5"/>
  <c r="F18" i="5"/>
  <c r="D32" i="5" l="1"/>
  <c r="D31" i="5"/>
  <c r="D5" i="5"/>
  <c r="F29" i="5"/>
  <c r="F10" i="5" s="1"/>
  <c r="D6" i="5" s="1"/>
  <c r="D7" i="5" l="1"/>
  <c r="D8" i="5"/>
  <c r="A19" i="5"/>
  <c r="A20" i="5" l="1"/>
  <c r="A21" i="5" s="1"/>
  <c r="A22" i="5" s="1"/>
  <c r="A23" i="5" l="1"/>
  <c r="A24" i="5" s="1"/>
  <c r="A25" i="5" l="1"/>
  <c r="A26" i="5" s="1"/>
  <c r="A30" i="5" l="1"/>
  <c r="A31" i="5" s="1"/>
  <c r="A32" i="5" s="1"/>
</calcChain>
</file>

<file path=xl/sharedStrings.xml><?xml version="1.0" encoding="utf-8"?>
<sst xmlns="http://schemas.openxmlformats.org/spreadsheetml/2006/main" count="74" uniqueCount="70">
  <si>
    <t>Klasse</t>
  </si>
  <si>
    <t>Thema</t>
  </si>
  <si>
    <t>Prozent</t>
  </si>
  <si>
    <t>Note</t>
  </si>
  <si>
    <t>#</t>
  </si>
  <si>
    <t>Kommentar</t>
  </si>
  <si>
    <t>Malus</t>
  </si>
  <si>
    <t>Soll-P</t>
  </si>
  <si>
    <t>Ist-P</t>
  </si>
  <si>
    <t>Start</t>
  </si>
  <si>
    <t>Dauer</t>
  </si>
  <si>
    <t>Puffer</t>
  </si>
  <si>
    <t>LL</t>
  </si>
  <si>
    <t>M241-LB3: Pitch</t>
  </si>
  <si>
    <t>Innovation pitchen</t>
  </si>
  <si>
    <t>Name</t>
  </si>
  <si>
    <t>Vorname</t>
  </si>
  <si>
    <t>Einhaltung der Dauer</t>
  </si>
  <si>
    <t>Inhalt</t>
  </si>
  <si>
    <t>Klarheit der Botschaft</t>
  </si>
  <si>
    <t>Präsentationsfähigkeiten</t>
  </si>
  <si>
    <t>Marktpotenzial</t>
  </si>
  <si>
    <t>Geschäftsmodell</t>
  </si>
  <si>
    <t>Wie klar und realistisch ist das Geschäftsmodell, das vorgestellt wird?</t>
  </si>
  <si>
    <t>Fragen &amp; Antworten</t>
  </si>
  <si>
    <t>Baseline 3.5 +/- 15 Sekunden Minuten. Erfüllungsgenauigkeit</t>
  </si>
  <si>
    <t>Adapter nicht vorhanden: 5%, Unklarheit bei der Bedienung der Infrastruktur 5%</t>
  </si>
  <si>
    <t>Visuelle Hilfsmittel/Medien</t>
  </si>
  <si>
    <t>Struktur der Botschaft: Einleitung, Hauptteil, Demo, F&amp;A, Verabschiedung</t>
  </si>
  <si>
    <t>Begrüssung</t>
  </si>
  <si>
    <t>Namentliche Begrüssung des Stakeholders, dann die Klasse</t>
  </si>
  <si>
    <t>Baseline 3.5 Min.</t>
  </si>
  <si>
    <t>Je nach Themenvergabe muss die passende Technik verwendet werden.</t>
  </si>
  <si>
    <t>Prio 1: 3 Pkt., Prio 2. 1.5 Pkt.</t>
  </si>
  <si>
    <t>Indikatoren</t>
  </si>
  <si>
    <t>Hinweis</t>
  </si>
  <si>
    <t>Formales</t>
  </si>
  <si>
    <t>Punkte Soll</t>
  </si>
  <si>
    <t>Punkte Ist</t>
  </si>
  <si>
    <t>Eingesetzte Pitch-Methode</t>
  </si>
  <si>
    <t>Der Zuhörer kann die Botschaft unmittelbar nach dem Pitch in einem Satz darlegen.Idealerweise direkt oder indirekt vom Presenter vorgegeben --&gt; Something catchy</t>
  </si>
  <si>
    <t>Argumentations-Kette für die Zuhörer ersichtlich.</t>
  </si>
  <si>
    <t>Es kann eine in sich schlüssige Argumentationskette aufgebaut werden.</t>
  </si>
  <si>
    <t>Wie gut sind die Präsentationsfähigkeiten des Vortragenden?</t>
  </si>
  <si>
    <t>Standard ist Text: Stichwort + Fotos</t>
  </si>
  <si>
    <t xml:space="preserve">Wird das Marktpotenzial der Idee oder des Produkts überzeugend dargestellt? </t>
  </si>
  <si>
    <t>Die Wertschöpfung rechtfertigt den Aufwand für die Innovation.</t>
  </si>
  <si>
    <t>Fachliche Korrektheit 2 Pkt. Kurz: 1 Pkt. Prägnanz: 1 Pkt.</t>
  </si>
  <si>
    <t>Ende</t>
  </si>
  <si>
    <t>Umsetzung der Innovation ist für den Lernenden im Bereich des möglichen. Hilfe und Ressourcen können im realistischen Rahmen miteinbezogen werden.</t>
  </si>
  <si>
    <t>Relevant ist der Serverzeitstempel</t>
  </si>
  <si>
    <t>Passendes Präsentatinsende</t>
  </si>
  <si>
    <t>Berechtigung des Downloads sind nicht korrekt: Pro Downloadversuch 10%</t>
  </si>
  <si>
    <t>Umsetzung der Innovation für den Lernenden im Bereich des möglichen. Hilfe und Ressourcen können im realistischen Rahmen miteinbezogen werden.</t>
  </si>
  <si>
    <t>2 Selbst gestellte Fragen werden kurz, prägnant und fachlich korrekt beantwortet.</t>
  </si>
  <si>
    <t>Abweichung vom MP4</t>
  </si>
  <si>
    <t>Falsche Videoformat: 10%</t>
  </si>
  <si>
    <t>Audio-Qualität</t>
  </si>
  <si>
    <t>Sauberer Schnitt, Übergänge, keine Störgeäusche</t>
  </si>
  <si>
    <t>Video-Qualiät</t>
  </si>
  <si>
    <t>Sauberer Schnitt, Übergänge, nicht verwackelt. Passend belichtet.</t>
  </si>
  <si>
    <t>Dateigrösse</t>
  </si>
  <si>
    <t xml:space="preserve">Verspätetes Upload der Präsentationsunterlagen: Pro angefangenem Tag 25%. </t>
  </si>
  <si>
    <t>Die Berechtigung zum Download der Unterlagen ist beim Downloadversuch nicht korrekt. Abzug pro Versuch 10%.</t>
  </si>
  <si>
    <t>Max. 50 MB, durch Handbrake o.ä. komprimiert.</t>
  </si>
  <si>
    <t>Schlechte Videoqualität: jeweils bis zu 10% für Bild und 10% für Ton.</t>
  </si>
  <si>
    <t xml:space="preserve">Die Kernbotschaft des Pitches wird addressatengerecht vermittelt. </t>
  </si>
  <si>
    <t>Wichtig: Man sieht die Hauptperson. Bewertet werden Körpersprache, Augenkontakt und stimmlicher Überzeugungskraft, zielführende Sprache.</t>
  </si>
  <si>
    <t>Videos, Demos, Zitate, Geschichten, Dialoge, Show-Einlagen  sind zu zusätzlich.</t>
  </si>
  <si>
    <t>Namentliche Verabschiedung des Stakeholders, dann die Klasse.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</si>
</sst>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6" borderId="4" applyNumberFormat="0" applyAlignment="0" applyProtection="0"/>
  </cellStyleXfs>
  <cellXfs count="69">
    <xf numFmtId="0" fontId="0" fillId="0" borderId="0" xfId="0"/>
    <xf numFmtId="0" fontId="0" fillId="0" borderId="0" xfId="0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top"/>
    </xf>
    <xf numFmtId="0" fontId="4" fillId="4" borderId="1" xfId="3" applyBorder="1"/>
    <xf numFmtId="0" fontId="0" fillId="5" borderId="1" xfId="0" applyFill="1" applyBorder="1"/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 wrapText="1"/>
    </xf>
    <xf numFmtId="20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4" borderId="1" xfId="3" applyFont="1" applyBorder="1" applyAlignment="1">
      <alignment horizontal="right" vertical="top"/>
    </xf>
    <xf numFmtId="0" fontId="2" fillId="4" borderId="1" xfId="3" applyFont="1" applyBorder="1" applyAlignment="1">
      <alignment wrapText="1"/>
    </xf>
    <xf numFmtId="164" fontId="2" fillId="4" borderId="1" xfId="3" applyNumberFormat="1" applyFont="1" applyBorder="1" applyAlignment="1">
      <alignment horizontal="center"/>
    </xf>
    <xf numFmtId="0" fontId="2" fillId="4" borderId="1" xfId="3" applyFont="1" applyBorder="1" applyAlignment="1">
      <alignment horizontal="left" wrapText="1"/>
    </xf>
    <xf numFmtId="0" fontId="5" fillId="4" borderId="1" xfId="3" applyFont="1" applyBorder="1" applyAlignment="1">
      <alignment horizontal="justify" vertical="center" wrapText="1"/>
    </xf>
    <xf numFmtId="0" fontId="5" fillId="4" borderId="1" xfId="3" applyFont="1" applyBorder="1" applyAlignment="1">
      <alignment horizontal="left" wrapText="1"/>
    </xf>
    <xf numFmtId="164" fontId="5" fillId="4" borderId="1" xfId="3" applyNumberFormat="1" applyFont="1" applyBorder="1" applyAlignment="1">
      <alignment horizontal="center"/>
    </xf>
    <xf numFmtId="0" fontId="5" fillId="0" borderId="0" xfId="0" applyFont="1"/>
    <xf numFmtId="0" fontId="2" fillId="3" borderId="1" xfId="2" applyFont="1" applyBorder="1" applyAlignment="1">
      <alignment horizontal="right" vertical="top"/>
    </xf>
    <xf numFmtId="0" fontId="2" fillId="3" borderId="1" xfId="2" applyFont="1" applyBorder="1" applyAlignment="1">
      <alignment wrapText="1"/>
    </xf>
    <xf numFmtId="0" fontId="2" fillId="3" borderId="1" xfId="2" applyFont="1" applyBorder="1" applyAlignment="1">
      <alignment horizontal="left" wrapText="1"/>
    </xf>
    <xf numFmtId="0" fontId="2" fillId="3" borderId="1" xfId="2" applyFont="1" applyBorder="1" applyAlignment="1">
      <alignment horizontal="center" wrapText="1"/>
    </xf>
    <xf numFmtId="164" fontId="2" fillId="3" borderId="1" xfId="2" applyNumberFormat="1" applyFont="1" applyBorder="1" applyAlignment="1">
      <alignment horizontal="center"/>
    </xf>
    <xf numFmtId="0" fontId="5" fillId="3" borderId="1" xfId="2" applyFont="1" applyBorder="1" applyAlignment="1">
      <alignment horizontal="left" wrapText="1"/>
    </xf>
    <xf numFmtId="164" fontId="5" fillId="3" borderId="1" xfId="2" applyNumberFormat="1" applyFont="1" applyBorder="1" applyAlignment="1">
      <alignment horizontal="center"/>
    </xf>
    <xf numFmtId="0" fontId="2" fillId="4" borderId="1" xfId="3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5" xfId="0" applyBorder="1" applyAlignment="1">
      <alignment horizontal="left" wrapText="1"/>
    </xf>
    <xf numFmtId="0" fontId="2" fillId="0" borderId="17" xfId="0" applyFont="1" applyBorder="1" applyAlignment="1">
      <alignment wrapText="1"/>
    </xf>
    <xf numFmtId="164" fontId="2" fillId="0" borderId="8" xfId="0" applyNumberFormat="1" applyFont="1" applyBorder="1" applyAlignment="1">
      <alignment horizontal="center"/>
    </xf>
    <xf numFmtId="0" fontId="5" fillId="2" borderId="10" xfId="1" applyFont="1" applyBorder="1" applyAlignment="1">
      <alignment wrapText="1"/>
    </xf>
    <xf numFmtId="0" fontId="5" fillId="2" borderId="11" xfId="1" applyFont="1" applyBorder="1" applyAlignment="1">
      <alignment wrapText="1"/>
    </xf>
    <xf numFmtId="164" fontId="5" fillId="2" borderId="2" xfId="1" applyNumberFormat="1" applyFont="1" applyBorder="1" applyAlignment="1">
      <alignment horizontal="center"/>
    </xf>
    <xf numFmtId="0" fontId="5" fillId="2" borderId="18" xfId="1" applyFont="1" applyBorder="1" applyAlignment="1">
      <alignment wrapText="1"/>
    </xf>
    <xf numFmtId="0" fontId="5" fillId="2" borderId="9" xfId="1" applyFont="1" applyBorder="1" applyAlignment="1">
      <alignment wrapText="1"/>
    </xf>
    <xf numFmtId="164" fontId="5" fillId="2" borderId="3" xfId="1" applyNumberFormat="1" applyFont="1" applyBorder="1" applyAlignment="1">
      <alignment horizontal="center"/>
    </xf>
    <xf numFmtId="0" fontId="5" fillId="2" borderId="13" xfId="1" applyFont="1" applyBorder="1" applyAlignment="1">
      <alignment wrapText="1"/>
    </xf>
    <xf numFmtId="0" fontId="5" fillId="2" borderId="14" xfId="1" applyFont="1" applyBorder="1" applyAlignment="1">
      <alignment wrapText="1"/>
    </xf>
    <xf numFmtId="164" fontId="5" fillId="2" borderId="7" xfId="1" applyNumberFormat="1" applyFont="1" applyBorder="1" applyAlignment="1">
      <alignment horizontal="center"/>
    </xf>
    <xf numFmtId="0" fontId="2" fillId="2" borderId="13" xfId="1" applyFont="1" applyBorder="1" applyAlignment="1">
      <alignment wrapText="1"/>
    </xf>
    <xf numFmtId="0" fontId="2" fillId="2" borderId="14" xfId="1" applyFont="1" applyBorder="1" applyAlignment="1">
      <alignment wrapText="1"/>
    </xf>
    <xf numFmtId="164" fontId="2" fillId="2" borderId="7" xfId="1" applyNumberFormat="1" applyFont="1" applyBorder="1" applyAlignment="1">
      <alignment horizontal="center"/>
    </xf>
    <xf numFmtId="0" fontId="5" fillId="6" borderId="4" xfId="4" applyFont="1" applyAlignment="1">
      <alignment horizontal="left" wrapText="1"/>
    </xf>
    <xf numFmtId="164" fontId="5" fillId="6" borderId="4" xfId="4" applyNumberFormat="1" applyFont="1" applyAlignment="1">
      <alignment horizontal="center"/>
    </xf>
    <xf numFmtId="0" fontId="5" fillId="6" borderId="4" xfId="4" applyFont="1" applyAlignment="1">
      <alignment horizontal="right" vertical="top"/>
    </xf>
    <xf numFmtId="0" fontId="5" fillId="6" borderId="4" xfId="4" applyFont="1" applyAlignment="1">
      <alignment horizontal="justify" vertical="center" wrapText="1"/>
    </xf>
    <xf numFmtId="0" fontId="5" fillId="3" borderId="0" xfId="2" applyFont="1" applyBorder="1" applyAlignment="1">
      <alignment horizontal="left" wrapText="1"/>
    </xf>
    <xf numFmtId="0" fontId="2" fillId="6" borderId="4" xfId="4" applyFont="1" applyAlignment="1">
      <alignment horizontal="right" vertical="top"/>
    </xf>
    <xf numFmtId="0" fontId="2" fillId="6" borderId="4" xfId="4" applyFont="1" applyAlignment="1">
      <alignment wrapText="1"/>
    </xf>
    <xf numFmtId="0" fontId="2" fillId="6" borderId="4" xfId="4" applyFont="1" applyAlignment="1">
      <alignment horizontal="left" wrapText="1"/>
    </xf>
    <xf numFmtId="164" fontId="2" fillId="6" borderId="4" xfId="4" applyNumberFormat="1" applyFont="1" applyAlignment="1">
      <alignment horizontal="center"/>
    </xf>
  </cellXfs>
  <cellStyles count="5">
    <cellStyle name="Bad" xfId="1" builtinId="27"/>
    <cellStyle name="Good" xfId="3" builtinId="26"/>
    <cellStyle name="Input" xfId="4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EC3D-F927-4BD8-BB9F-676682983391}">
  <dimension ref="A1:E15"/>
  <sheetViews>
    <sheetView zoomScale="130" zoomScaleNormal="130" workbookViewId="0">
      <selection activeCell="C42" sqref="C42"/>
    </sheetView>
  </sheetViews>
  <sheetFormatPr defaultColWidth="10.9453125" defaultRowHeight="14.4" x14ac:dyDescent="0.55000000000000004"/>
  <cols>
    <col min="1" max="1" width="3.20703125" bestFit="1" customWidth="1"/>
    <col min="2" max="2" width="10.5234375" style="2" bestFit="1" customWidth="1"/>
    <col min="3" max="3" width="10.1015625" style="2" bestFit="1" customWidth="1"/>
    <col min="4" max="4" width="6.3125" style="2" bestFit="1" customWidth="1"/>
    <col min="5" max="5" width="26.1015625" style="2" customWidth="1"/>
  </cols>
  <sheetData>
    <row r="1" spans="1:5" x14ac:dyDescent="0.55000000000000004">
      <c r="A1" s="14"/>
      <c r="B1" s="16">
        <v>45399</v>
      </c>
      <c r="C1" s="15"/>
      <c r="D1" s="15"/>
      <c r="E1" s="15" t="s">
        <v>13</v>
      </c>
    </row>
    <row r="2" spans="1:5" x14ac:dyDescent="0.55000000000000004">
      <c r="A2" s="17" t="s">
        <v>4</v>
      </c>
      <c r="B2" s="18" t="s">
        <v>9</v>
      </c>
      <c r="C2" s="18" t="s">
        <v>10</v>
      </c>
      <c r="D2" s="18" t="s">
        <v>11</v>
      </c>
      <c r="E2" s="18" t="s">
        <v>12</v>
      </c>
    </row>
    <row r="3" spans="1:5" x14ac:dyDescent="0.55000000000000004">
      <c r="A3" s="13">
        <v>1</v>
      </c>
      <c r="B3" s="19">
        <v>0.4201388888888889</v>
      </c>
      <c r="C3" s="19">
        <v>3.472222222222222E-3</v>
      </c>
      <c r="D3" s="20">
        <v>1.3888888888888889E-3</v>
      </c>
      <c r="E3" s="21"/>
    </row>
    <row r="4" spans="1:5" x14ac:dyDescent="0.55000000000000004">
      <c r="A4" s="13">
        <f t="shared" ref="A4:A15" si="0">A3+1</f>
        <v>2</v>
      </c>
      <c r="B4" s="19">
        <f t="shared" ref="B4:B15" si="1">B3+C3+D3</f>
        <v>0.42499999999999999</v>
      </c>
      <c r="C4" s="19">
        <v>3.472222222222222E-3</v>
      </c>
      <c r="D4" s="20">
        <v>1.3888888888888889E-3</v>
      </c>
      <c r="E4" s="21"/>
    </row>
    <row r="5" spans="1:5" x14ac:dyDescent="0.55000000000000004">
      <c r="A5" s="13">
        <f t="shared" si="0"/>
        <v>3</v>
      </c>
      <c r="B5" s="19">
        <f t="shared" si="1"/>
        <v>0.42986111111111108</v>
      </c>
      <c r="C5" s="19">
        <v>3.472222222222222E-3</v>
      </c>
      <c r="D5" s="20">
        <v>1.3888888888888889E-3</v>
      </c>
      <c r="E5" s="21"/>
    </row>
    <row r="6" spans="1:5" x14ac:dyDescent="0.55000000000000004">
      <c r="A6" s="13">
        <f t="shared" si="0"/>
        <v>4</v>
      </c>
      <c r="B6" s="19">
        <f t="shared" si="1"/>
        <v>0.43472222222222218</v>
      </c>
      <c r="C6" s="19">
        <v>3.472222222222222E-3</v>
      </c>
      <c r="D6" s="20">
        <v>1.3888888888888889E-3</v>
      </c>
      <c r="E6" s="21"/>
    </row>
    <row r="7" spans="1:5" x14ac:dyDescent="0.55000000000000004">
      <c r="A7" s="13">
        <f t="shared" si="0"/>
        <v>5</v>
      </c>
      <c r="B7" s="19">
        <f t="shared" si="1"/>
        <v>0.43958333333333327</v>
      </c>
      <c r="C7" s="19">
        <v>3.472222222222222E-3</v>
      </c>
      <c r="D7" s="20">
        <v>1.3888888888888889E-3</v>
      </c>
      <c r="E7" s="22"/>
    </row>
    <row r="8" spans="1:5" x14ac:dyDescent="0.55000000000000004">
      <c r="A8" s="13">
        <f t="shared" si="0"/>
        <v>6</v>
      </c>
      <c r="B8" s="19">
        <f t="shared" si="1"/>
        <v>0.44444444444444436</v>
      </c>
      <c r="C8" s="19">
        <v>3.472222222222222E-3</v>
      </c>
      <c r="D8" s="20">
        <v>1.3888888888888889E-3</v>
      </c>
      <c r="E8" s="22"/>
    </row>
    <row r="9" spans="1:5" x14ac:dyDescent="0.55000000000000004">
      <c r="A9" s="13">
        <f t="shared" si="0"/>
        <v>7</v>
      </c>
      <c r="B9" s="19">
        <f t="shared" si="1"/>
        <v>0.44930555555555546</v>
      </c>
      <c r="C9" s="19">
        <v>3.472222222222222E-3</v>
      </c>
      <c r="D9" s="20">
        <v>1.3888888888888889E-3</v>
      </c>
      <c r="E9" s="22"/>
    </row>
    <row r="10" spans="1:5" x14ac:dyDescent="0.55000000000000004">
      <c r="A10" s="13">
        <f t="shared" si="0"/>
        <v>8</v>
      </c>
      <c r="B10" s="19">
        <f t="shared" si="1"/>
        <v>0.45416666666666655</v>
      </c>
      <c r="C10" s="19">
        <v>3.472222222222222E-3</v>
      </c>
      <c r="D10" s="20">
        <v>1.3888888888888889E-3</v>
      </c>
      <c r="E10" s="22"/>
    </row>
    <row r="11" spans="1:5" x14ac:dyDescent="0.55000000000000004">
      <c r="A11" s="13">
        <f t="shared" si="0"/>
        <v>9</v>
      </c>
      <c r="B11" s="19">
        <f t="shared" si="1"/>
        <v>0.45902777777777765</v>
      </c>
      <c r="C11" s="19">
        <v>3.472222222222222E-3</v>
      </c>
      <c r="D11" s="20">
        <v>1.3888888888888889E-3</v>
      </c>
      <c r="E11" s="22"/>
    </row>
    <row r="12" spans="1:5" x14ac:dyDescent="0.55000000000000004">
      <c r="A12" s="13">
        <f t="shared" si="0"/>
        <v>10</v>
      </c>
      <c r="B12" s="19">
        <f t="shared" si="1"/>
        <v>0.46388888888888874</v>
      </c>
      <c r="C12" s="19">
        <v>3.472222222222222E-3</v>
      </c>
      <c r="D12" s="20">
        <v>1.3888888888888889E-3</v>
      </c>
      <c r="E12" s="22"/>
    </row>
    <row r="13" spans="1:5" x14ac:dyDescent="0.55000000000000004">
      <c r="A13" s="13">
        <f t="shared" si="0"/>
        <v>11</v>
      </c>
      <c r="B13" s="19">
        <f t="shared" si="1"/>
        <v>0.46874999999999983</v>
      </c>
      <c r="C13" s="19">
        <v>3.472222222222222E-3</v>
      </c>
      <c r="D13" s="20">
        <v>1.3888888888888889E-3</v>
      </c>
      <c r="E13" s="22"/>
    </row>
    <row r="14" spans="1:5" x14ac:dyDescent="0.55000000000000004">
      <c r="A14" s="13">
        <f t="shared" si="0"/>
        <v>12</v>
      </c>
      <c r="B14" s="19">
        <f t="shared" si="1"/>
        <v>0.47361111111111093</v>
      </c>
      <c r="C14" s="19">
        <f>C13</f>
        <v>3.472222222222222E-3</v>
      </c>
      <c r="D14" s="20">
        <v>1.3888888888888889E-3</v>
      </c>
      <c r="E14" s="22"/>
    </row>
    <row r="15" spans="1:5" x14ac:dyDescent="0.55000000000000004">
      <c r="A15" s="13">
        <f t="shared" si="0"/>
        <v>13</v>
      </c>
      <c r="B15" s="19">
        <f t="shared" si="1"/>
        <v>0.47847222222222202</v>
      </c>
      <c r="C15" s="19">
        <v>3.472222222222222E-3</v>
      </c>
      <c r="D15" s="20">
        <v>1.3888888888888889E-3</v>
      </c>
      <c r="E15" s="2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A80D-F342-4D8B-860B-86AC9B70321F}">
  <sheetPr>
    <pageSetUpPr fitToPage="1"/>
  </sheetPr>
  <dimension ref="A1:J33"/>
  <sheetViews>
    <sheetView tabSelected="1" zoomScale="85" zoomScaleNormal="85" workbookViewId="0">
      <selection activeCell="H27" sqref="H27"/>
    </sheetView>
  </sheetViews>
  <sheetFormatPr defaultColWidth="8.7890625" defaultRowHeight="14.4" x14ac:dyDescent="0.55000000000000004"/>
  <cols>
    <col min="1" max="1" width="3.3125" style="12" bestFit="1" customWidth="1"/>
    <col min="2" max="2" width="41.68359375" style="4" customWidth="1"/>
    <col min="3" max="3" width="40.41796875" customWidth="1"/>
    <col min="4" max="4" width="6.5234375" style="8" bestFit="1" customWidth="1"/>
    <col min="5" max="5" width="6.41796875" style="8" bestFit="1" customWidth="1"/>
    <col min="6" max="6" width="5.7890625" bestFit="1" customWidth="1"/>
    <col min="7" max="7" width="54.68359375" style="8" customWidth="1"/>
    <col min="8" max="8" width="62.89453125" style="6" customWidth="1"/>
    <col min="9" max="9" width="64.1015625" style="4" customWidth="1"/>
  </cols>
  <sheetData>
    <row r="1" spans="1:10" ht="14.7" thickBot="1" x14ac:dyDescent="0.6">
      <c r="B1" s="44" t="s">
        <v>1</v>
      </c>
      <c r="C1" s="45" t="s">
        <v>14</v>
      </c>
      <c r="D1" s="45"/>
      <c r="G1" s="6"/>
    </row>
    <row r="2" spans="1:10" x14ac:dyDescent="0.55000000000000004">
      <c r="B2" s="48" t="s">
        <v>15</v>
      </c>
      <c r="C2" s="49"/>
      <c r="D2" s="50"/>
      <c r="G2" s="6"/>
    </row>
    <row r="3" spans="1:10" x14ac:dyDescent="0.55000000000000004">
      <c r="B3" s="51" t="s">
        <v>16</v>
      </c>
      <c r="C3" s="52"/>
      <c r="D3" s="53"/>
      <c r="G3" s="6"/>
    </row>
    <row r="4" spans="1:10" ht="14.7" thickBot="1" x14ac:dyDescent="0.6">
      <c r="B4" s="54" t="s">
        <v>0</v>
      </c>
      <c r="C4" s="55"/>
      <c r="D4" s="56"/>
      <c r="G4" s="6"/>
    </row>
    <row r="5" spans="1:10" x14ac:dyDescent="0.55000000000000004">
      <c r="B5" s="40" t="s">
        <v>37</v>
      </c>
      <c r="C5" s="41"/>
      <c r="D5" s="9">
        <f>$D$10</f>
        <v>49</v>
      </c>
      <c r="G5" s="6"/>
    </row>
    <row r="6" spans="1:10" x14ac:dyDescent="0.55000000000000004">
      <c r="B6" s="46" t="s">
        <v>38</v>
      </c>
      <c r="C6" s="43"/>
      <c r="D6" s="47">
        <f>$F$10</f>
        <v>0</v>
      </c>
      <c r="G6" s="6"/>
    </row>
    <row r="7" spans="1:10" x14ac:dyDescent="0.55000000000000004">
      <c r="B7" s="42" t="s">
        <v>2</v>
      </c>
      <c r="C7" s="39"/>
      <c r="D7" s="10">
        <f>100/D5*D6</f>
        <v>0</v>
      </c>
      <c r="G7" s="6"/>
    </row>
    <row r="8" spans="1:10" ht="14.7" thickBot="1" x14ac:dyDescent="0.6">
      <c r="B8" s="57" t="s">
        <v>3</v>
      </c>
      <c r="C8" s="58"/>
      <c r="D8" s="59">
        <f>(5*D6/D5)+1</f>
        <v>1</v>
      </c>
      <c r="G8" s="6"/>
    </row>
    <row r="9" spans="1:10" x14ac:dyDescent="0.55000000000000004">
      <c r="B9" s="7"/>
      <c r="D9" s="11"/>
      <c r="G9" s="6"/>
    </row>
    <row r="10" spans="1:10" x14ac:dyDescent="0.55000000000000004">
      <c r="B10" s="7"/>
      <c r="D10" s="11">
        <f>SUM(D11:D27)</f>
        <v>49</v>
      </c>
      <c r="F10" s="11">
        <f>SUM(F11:F31)</f>
        <v>0</v>
      </c>
      <c r="I10" s="11"/>
      <c r="J10" s="6"/>
    </row>
    <row r="11" spans="1:10" s="5" customFormat="1" x14ac:dyDescent="0.55000000000000004">
      <c r="A11" s="23" t="s">
        <v>4</v>
      </c>
      <c r="B11" s="24" t="s">
        <v>36</v>
      </c>
      <c r="C11" s="24" t="s">
        <v>35</v>
      </c>
      <c r="D11" s="38" t="s">
        <v>7</v>
      </c>
      <c r="F11" s="25" t="s">
        <v>8</v>
      </c>
      <c r="G11" s="26" t="s">
        <v>5</v>
      </c>
      <c r="H11" s="24" t="s">
        <v>34</v>
      </c>
    </row>
    <row r="12" spans="1:10" x14ac:dyDescent="0.55000000000000004">
      <c r="A12" s="23">
        <v>1</v>
      </c>
      <c r="B12" s="27" t="s">
        <v>17</v>
      </c>
      <c r="C12" s="28" t="s">
        <v>31</v>
      </c>
      <c r="D12" s="29">
        <v>5</v>
      </c>
      <c r="E12" s="30"/>
      <c r="F12" s="29"/>
      <c r="G12" s="28"/>
      <c r="H12" s="28" t="s">
        <v>25</v>
      </c>
    </row>
    <row r="13" spans="1:10" x14ac:dyDescent="0.55000000000000004">
      <c r="A13" s="23">
        <f>A12+1</f>
        <v>2</v>
      </c>
      <c r="B13" s="27" t="s">
        <v>57</v>
      </c>
      <c r="C13" s="28" t="s">
        <v>58</v>
      </c>
      <c r="D13" s="29">
        <v>3</v>
      </c>
      <c r="E13" s="30"/>
      <c r="F13" s="29"/>
      <c r="G13" s="28"/>
      <c r="H13" s="28"/>
    </row>
    <row r="14" spans="1:10" ht="28.8" x14ac:dyDescent="0.55000000000000004">
      <c r="A14" s="23">
        <f>A13+1</f>
        <v>3</v>
      </c>
      <c r="B14" s="27" t="s">
        <v>59</v>
      </c>
      <c r="C14" s="28" t="s">
        <v>60</v>
      </c>
      <c r="D14" s="29">
        <v>5</v>
      </c>
      <c r="E14" s="30"/>
      <c r="F14" s="29"/>
      <c r="G14" s="28"/>
      <c r="H14" s="28"/>
    </row>
    <row r="15" spans="1:10" x14ac:dyDescent="0.55000000000000004">
      <c r="A15" s="23">
        <f>A14+1</f>
        <v>4</v>
      </c>
      <c r="B15" s="27" t="s">
        <v>61</v>
      </c>
      <c r="C15" s="28" t="s">
        <v>64</v>
      </c>
      <c r="D15" s="29">
        <v>2</v>
      </c>
      <c r="E15" s="30"/>
      <c r="F15" s="29"/>
      <c r="G15" s="28"/>
      <c r="H15" s="28"/>
    </row>
    <row r="16" spans="1:10" ht="28.8" x14ac:dyDescent="0.55000000000000004">
      <c r="A16" s="23">
        <f>A15+1</f>
        <v>5</v>
      </c>
      <c r="B16" s="27" t="s">
        <v>39</v>
      </c>
      <c r="C16" s="28" t="s">
        <v>32</v>
      </c>
      <c r="D16" s="29">
        <v>3</v>
      </c>
      <c r="E16" s="30"/>
      <c r="F16" s="29"/>
      <c r="G16" s="28"/>
      <c r="H16" s="28" t="s">
        <v>33</v>
      </c>
    </row>
    <row r="17" spans="1:8" x14ac:dyDescent="0.55000000000000004">
      <c r="B17" s="3"/>
      <c r="C17" s="6"/>
    </row>
    <row r="18" spans="1:8" s="5" customFormat="1" x14ac:dyDescent="0.55000000000000004">
      <c r="A18" s="31" t="s">
        <v>4</v>
      </c>
      <c r="B18" s="32" t="s">
        <v>18</v>
      </c>
      <c r="C18" s="33" t="str">
        <f>C11</f>
        <v>Hinweis</v>
      </c>
      <c r="D18" s="34" t="str">
        <f>D11</f>
        <v>Soll-P</v>
      </c>
      <c r="F18" s="35" t="str">
        <f>F11</f>
        <v>Ist-P</v>
      </c>
      <c r="G18" s="33" t="s">
        <v>5</v>
      </c>
      <c r="H18" s="33" t="str">
        <f>H11</f>
        <v>Indikatoren</v>
      </c>
    </row>
    <row r="19" spans="1:8" s="5" customFormat="1" ht="57.6" x14ac:dyDescent="0.55000000000000004">
      <c r="A19" s="31">
        <f>A16+1</f>
        <v>6</v>
      </c>
      <c r="B19" s="36" t="s">
        <v>29</v>
      </c>
      <c r="C19" s="36" t="s">
        <v>53</v>
      </c>
      <c r="D19" s="37">
        <v>2</v>
      </c>
      <c r="E19" s="30"/>
      <c r="F19" s="37"/>
      <c r="G19" s="36"/>
      <c r="H19" s="36" t="s">
        <v>30</v>
      </c>
    </row>
    <row r="20" spans="1:8" s="5" customFormat="1" ht="43.2" x14ac:dyDescent="0.55000000000000004">
      <c r="A20" s="31">
        <f t="shared" ref="A20:A26" si="0">A19+1</f>
        <v>7</v>
      </c>
      <c r="B20" s="36" t="s">
        <v>19</v>
      </c>
      <c r="C20" s="36" t="s">
        <v>66</v>
      </c>
      <c r="D20" s="37">
        <v>5</v>
      </c>
      <c r="E20" s="30"/>
      <c r="F20" s="37"/>
      <c r="G20" s="36"/>
      <c r="H20" s="36" t="s">
        <v>40</v>
      </c>
    </row>
    <row r="21" spans="1:8" s="5" customFormat="1" ht="28.8" x14ac:dyDescent="0.55000000000000004">
      <c r="A21" s="31">
        <f t="shared" si="0"/>
        <v>8</v>
      </c>
      <c r="B21" s="36" t="s">
        <v>28</v>
      </c>
      <c r="C21" s="36" t="s">
        <v>41</v>
      </c>
      <c r="D21" s="37">
        <v>3</v>
      </c>
      <c r="E21" s="30"/>
      <c r="F21" s="37"/>
      <c r="G21" s="36"/>
      <c r="H21" s="36" t="s">
        <v>42</v>
      </c>
    </row>
    <row r="22" spans="1:8" s="5" customFormat="1" ht="28.8" x14ac:dyDescent="0.55000000000000004">
      <c r="A22" s="31">
        <f t="shared" si="0"/>
        <v>9</v>
      </c>
      <c r="B22" s="36" t="s">
        <v>20</v>
      </c>
      <c r="C22" s="36" t="s">
        <v>43</v>
      </c>
      <c r="D22" s="37">
        <v>5</v>
      </c>
      <c r="E22" s="30"/>
      <c r="F22" s="37"/>
      <c r="G22" s="36"/>
      <c r="H22" s="36" t="s">
        <v>67</v>
      </c>
    </row>
    <row r="23" spans="1:8" s="5" customFormat="1" ht="30.3" customHeight="1" x14ac:dyDescent="0.55000000000000004">
      <c r="A23" s="31">
        <f t="shared" si="0"/>
        <v>10</v>
      </c>
      <c r="B23" s="36" t="s">
        <v>27</v>
      </c>
      <c r="C23" s="36" t="s">
        <v>44</v>
      </c>
      <c r="D23" s="37">
        <v>4</v>
      </c>
      <c r="E23" s="30"/>
      <c r="F23" s="37"/>
      <c r="G23" s="36"/>
      <c r="H23" s="36" t="s">
        <v>68</v>
      </c>
    </row>
    <row r="24" spans="1:8" s="5" customFormat="1" ht="28.8" x14ac:dyDescent="0.55000000000000004">
      <c r="A24" s="31">
        <f t="shared" si="0"/>
        <v>11</v>
      </c>
      <c r="B24" s="36" t="s">
        <v>21</v>
      </c>
      <c r="C24" s="36" t="s">
        <v>45</v>
      </c>
      <c r="D24" s="37">
        <v>3</v>
      </c>
      <c r="E24" s="30"/>
      <c r="F24" s="37"/>
      <c r="G24" s="36"/>
      <c r="H24" s="36" t="s">
        <v>46</v>
      </c>
    </row>
    <row r="25" spans="1:8" s="5" customFormat="1" ht="44.4" customHeight="1" x14ac:dyDescent="0.55000000000000004">
      <c r="A25" s="31">
        <f t="shared" si="0"/>
        <v>12</v>
      </c>
      <c r="B25" s="36" t="s">
        <v>22</v>
      </c>
      <c r="C25" s="36" t="s">
        <v>23</v>
      </c>
      <c r="D25" s="37">
        <v>3</v>
      </c>
      <c r="E25" s="30"/>
      <c r="F25" s="37"/>
      <c r="G25" s="36"/>
      <c r="H25" s="36" t="s">
        <v>49</v>
      </c>
    </row>
    <row r="26" spans="1:8" s="5" customFormat="1" ht="28.8" x14ac:dyDescent="0.55000000000000004">
      <c r="A26" s="31">
        <f t="shared" si="0"/>
        <v>13</v>
      </c>
      <c r="B26" s="36" t="s">
        <v>24</v>
      </c>
      <c r="C26" s="36" t="s">
        <v>54</v>
      </c>
      <c r="D26" s="37">
        <v>4</v>
      </c>
      <c r="E26" s="30"/>
      <c r="F26" s="37"/>
      <c r="G26" s="36"/>
      <c r="H26" s="36" t="s">
        <v>47</v>
      </c>
    </row>
    <row r="27" spans="1:8" s="5" customFormat="1" x14ac:dyDescent="0.55000000000000004">
      <c r="A27" s="31">
        <f>A26+1</f>
        <v>14</v>
      </c>
      <c r="B27" s="36" t="s">
        <v>48</v>
      </c>
      <c r="C27" s="36" t="s">
        <v>51</v>
      </c>
      <c r="D27" s="37">
        <v>2</v>
      </c>
      <c r="E27" s="30"/>
      <c r="F27" s="37"/>
      <c r="G27" s="36"/>
      <c r="H27" s="36" t="s">
        <v>69</v>
      </c>
    </row>
    <row r="28" spans="1:8" x14ac:dyDescent="0.55000000000000004">
      <c r="B28" s="3"/>
      <c r="C28" s="6"/>
    </row>
    <row r="29" spans="1:8" x14ac:dyDescent="0.55000000000000004">
      <c r="A29" s="65" t="str">
        <f>A18</f>
        <v>#</v>
      </c>
      <c r="B29" s="66" t="s">
        <v>6</v>
      </c>
      <c r="C29" s="67"/>
      <c r="D29" s="68" t="str">
        <f>D18</f>
        <v>Soll-P</v>
      </c>
      <c r="E29"/>
      <c r="F29" s="65" t="str">
        <f>$D$11</f>
        <v>Soll-P</v>
      </c>
      <c r="G29" s="66"/>
      <c r="H29" s="60"/>
    </row>
    <row r="30" spans="1:8" s="5" customFormat="1" x14ac:dyDescent="0.55000000000000004">
      <c r="A30" s="62">
        <f>A27+1</f>
        <v>15</v>
      </c>
      <c r="B30" s="60" t="s">
        <v>56</v>
      </c>
      <c r="C30" s="60" t="s">
        <v>55</v>
      </c>
      <c r="D30" s="61">
        <f>-$D$10*0.1</f>
        <v>-4.9000000000000004</v>
      </c>
      <c r="E30" s="30"/>
      <c r="F30" s="62"/>
      <c r="G30" s="60"/>
      <c r="H30" s="64"/>
    </row>
    <row r="31" spans="1:8" ht="28.8" x14ac:dyDescent="0.55000000000000004">
      <c r="A31" s="62">
        <f t="shared" ref="A31" si="1">A30+1</f>
        <v>16</v>
      </c>
      <c r="B31" s="60" t="s">
        <v>62</v>
      </c>
      <c r="C31" s="60" t="s">
        <v>50</v>
      </c>
      <c r="D31" s="61">
        <f>-$D$10*0.25</f>
        <v>-12.25</v>
      </c>
      <c r="E31"/>
      <c r="F31" s="62"/>
      <c r="G31" s="63"/>
      <c r="H31" s="60" t="s">
        <v>26</v>
      </c>
    </row>
    <row r="32" spans="1:8" ht="42.6" customHeight="1" x14ac:dyDescent="0.55000000000000004">
      <c r="A32" s="62">
        <f>A31+1</f>
        <v>17</v>
      </c>
      <c r="B32" s="60" t="s">
        <v>52</v>
      </c>
      <c r="C32" s="60" t="s">
        <v>63</v>
      </c>
      <c r="D32" s="61">
        <f>-$D$10*0.1</f>
        <v>-4.9000000000000004</v>
      </c>
      <c r="E32"/>
      <c r="F32" s="62"/>
      <c r="G32" s="63"/>
      <c r="H32" s="60"/>
    </row>
    <row r="33" spans="1:7" ht="43.2" x14ac:dyDescent="0.55000000000000004">
      <c r="A33" s="62">
        <f>A32+1</f>
        <v>18</v>
      </c>
      <c r="B33" s="60" t="s">
        <v>65</v>
      </c>
      <c r="C33" s="60" t="s">
        <v>63</v>
      </c>
      <c r="D33" s="61">
        <f>-$D$10*0.1</f>
        <v>-4.9000000000000004</v>
      </c>
      <c r="E33"/>
      <c r="F33" s="62"/>
      <c r="G33" s="63"/>
    </row>
  </sheetData>
  <pageMargins left="0.7" right="0.7" top="0.78740157499999996" bottom="0.78740157499999996" header="0.3" footer="0.3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821B-7631-4049-812B-4110FE3769B4}">
  <dimension ref="A1:I1"/>
  <sheetViews>
    <sheetView workbookViewId="0">
      <selection activeCell="B51" sqref="B51"/>
    </sheetView>
  </sheetViews>
  <sheetFormatPr defaultColWidth="8.7890625" defaultRowHeight="14.4" x14ac:dyDescent="0.55000000000000004"/>
  <cols>
    <col min="1" max="1" width="2.7890625" style="1" bestFit="1" customWidth="1"/>
    <col min="2" max="2" width="58.7890625" style="4" bestFit="1" customWidth="1"/>
    <col min="3" max="3" width="6.68359375" style="2" bestFit="1" customWidth="1"/>
    <col min="4" max="4" width="3.41796875" customWidth="1"/>
    <col min="5" max="5" width="12.7890625" style="2" bestFit="1" customWidth="1"/>
    <col min="6" max="6" width="14.68359375" style="2" bestFit="1" customWidth="1"/>
    <col min="7" max="7" width="16.3125" style="2" bestFit="1" customWidth="1"/>
    <col min="8" max="8" width="12.7890625" bestFit="1" customWidth="1"/>
    <col min="9" max="9" width="50.7890625" style="6" customWidth="1"/>
  </cols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5230-7CD0-42FF-95C4-04EA1391DA66}">
  <dimension ref="A1:I1"/>
  <sheetViews>
    <sheetView workbookViewId="0">
      <selection sqref="A1:XFD24"/>
    </sheetView>
  </sheetViews>
  <sheetFormatPr defaultColWidth="8.7890625" defaultRowHeight="14.4" x14ac:dyDescent="0.55000000000000004"/>
  <cols>
    <col min="1" max="1" width="2.7890625" style="1" bestFit="1" customWidth="1"/>
    <col min="2" max="2" width="58.7890625" style="4" bestFit="1" customWidth="1"/>
    <col min="3" max="3" width="6.68359375" style="2" bestFit="1" customWidth="1"/>
    <col min="4" max="4" width="3.41796875" customWidth="1"/>
    <col min="5" max="5" width="14.1015625" style="2" bestFit="1" customWidth="1"/>
    <col min="6" max="6" width="13.41796875" style="2" bestFit="1" customWidth="1"/>
    <col min="7" max="7" width="10.68359375" style="2" bestFit="1" customWidth="1"/>
    <col min="8" max="8" width="11.1015625" bestFit="1" customWidth="1"/>
    <col min="9" max="9" width="49.1015625" style="6" customWidth="1"/>
  </cols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99E0-AFED-47BA-B0BD-BB87CE68D8B9}">
  <dimension ref="A1:K1"/>
  <sheetViews>
    <sheetView topLeftCell="B1" zoomScale="85" zoomScaleNormal="85" workbookViewId="0">
      <selection sqref="A1:XFD24"/>
    </sheetView>
  </sheetViews>
  <sheetFormatPr defaultColWidth="8.7890625" defaultRowHeight="14.4" x14ac:dyDescent="0.55000000000000004"/>
  <cols>
    <col min="1" max="1" width="2.7890625" style="1" bestFit="1" customWidth="1"/>
    <col min="2" max="2" width="58.7890625" style="4" bestFit="1" customWidth="1"/>
    <col min="3" max="3" width="6.68359375" style="2" bestFit="1" customWidth="1"/>
    <col min="4" max="4" width="3.41796875" customWidth="1"/>
    <col min="5" max="5" width="15.1015625" style="2" bestFit="1" customWidth="1"/>
    <col min="6" max="6" width="9.7890625" style="2" bestFit="1" customWidth="1"/>
    <col min="7" max="7" width="11.68359375" style="2" bestFit="1" customWidth="1"/>
    <col min="8" max="8" width="12.1015625" bestFit="1" customWidth="1"/>
    <col min="9" max="9" width="13.41796875" bestFit="1" customWidth="1"/>
    <col min="10" max="10" width="52.68359375" style="6" customWidth="1"/>
    <col min="11" max="11" width="48.1015625" style="4" customWidth="1"/>
  </cols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D19D-1048-4E4B-BCC0-C6C8A7440BCA}">
  <dimension ref="A1:I1"/>
  <sheetViews>
    <sheetView workbookViewId="0">
      <selection sqref="A1:XFD24"/>
    </sheetView>
  </sheetViews>
  <sheetFormatPr defaultColWidth="8.7890625" defaultRowHeight="14.4" x14ac:dyDescent="0.55000000000000004"/>
  <cols>
    <col min="1" max="1" width="2.7890625" style="1" bestFit="1" customWidth="1"/>
    <col min="2" max="2" width="58.7890625" style="4" bestFit="1" customWidth="1"/>
    <col min="3" max="3" width="6.68359375" style="2" bestFit="1" customWidth="1"/>
    <col min="4" max="4" width="3.41796875" customWidth="1"/>
    <col min="5" max="5" width="12.7890625" style="2" bestFit="1" customWidth="1"/>
    <col min="6" max="6" width="15.7890625" style="2" bestFit="1" customWidth="1"/>
    <col min="7" max="7" width="9.1015625" style="2" bestFit="1" customWidth="1"/>
    <col min="8" max="8" width="16.1015625" bestFit="1" customWidth="1"/>
    <col min="9" max="9" width="42" style="6" customWidth="1"/>
  </cols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E9E9-E966-46A8-B62A-2665ABA8F235}">
  <dimension ref="A1:I1"/>
  <sheetViews>
    <sheetView zoomScale="50" workbookViewId="0">
      <selection activeCell="E42" sqref="E42"/>
    </sheetView>
  </sheetViews>
  <sheetFormatPr defaultColWidth="8.7890625" defaultRowHeight="14.4" x14ac:dyDescent="0.55000000000000004"/>
  <cols>
    <col min="1" max="1" width="2.7890625" style="1" bestFit="1" customWidth="1"/>
    <col min="2" max="2" width="61.1015625" style="4" customWidth="1"/>
    <col min="3" max="3" width="6.68359375" style="2" bestFit="1" customWidth="1"/>
    <col min="4" max="4" width="3.41796875" customWidth="1"/>
    <col min="5" max="5" width="9" style="2" bestFit="1" customWidth="1"/>
    <col min="6" max="6" width="8.7890625" style="2" bestFit="1" customWidth="1"/>
    <col min="7" max="7" width="8.1015625" style="2" customWidth="1"/>
    <col min="8" max="8" width="7.68359375" bestFit="1" customWidth="1"/>
    <col min="9" max="9" width="42" style="2" customWidth="1"/>
  </cols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AA1A-0054-4850-A104-9F916FB25F8C}">
  <dimension ref="A1"/>
  <sheetViews>
    <sheetView workbookViewId="0"/>
  </sheetViews>
  <sheetFormatPr defaultColWidth="10.9453125" defaultRowHeight="14.4" x14ac:dyDescent="0.55000000000000004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CF77-2B05-4CFE-9811-F0B9281C434A}">
  <dimension ref="A1"/>
  <sheetViews>
    <sheetView workbookViewId="0"/>
  </sheetViews>
  <sheetFormatPr defaultColWidth="10.9453125" defaultRowHeight="14.4" x14ac:dyDescent="0.55000000000000004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A9CB-DF40-4223-8451-ECCF4D27A489}">
  <dimension ref="A1"/>
  <sheetViews>
    <sheetView workbookViewId="0">
      <selection activeCell="O56" sqref="O56"/>
    </sheetView>
  </sheetViews>
  <sheetFormatPr defaultColWidth="10.9453125" defaultRowHeight="14.4" x14ac:dyDescent="0.55000000000000004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28FB-3471-485E-8043-8D7A61FF5BE2}">
  <dimension ref="A1"/>
  <sheetViews>
    <sheetView workbookViewId="0"/>
  </sheetViews>
  <sheetFormatPr defaultColWidth="10.9453125" defaultRowHeight="14.4" x14ac:dyDescent="0.55000000000000004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E55D-EE25-44CD-BB43-38E49EA7925E}">
  <dimension ref="A1"/>
  <sheetViews>
    <sheetView workbookViewId="0"/>
  </sheetViews>
  <sheetFormatPr defaultColWidth="10.9453125" defaultRowHeight="14.4" x14ac:dyDescent="0.55000000000000004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EF91E59A045E49BE546A552D95CD85" ma:contentTypeVersion="8" ma:contentTypeDescription="Ein neues Dokument erstellen." ma:contentTypeScope="" ma:versionID="fd9e4270de889ab13512e1cc61b74a6d">
  <xsd:schema xmlns:xsd="http://www.w3.org/2001/XMLSchema" xmlns:xs="http://www.w3.org/2001/XMLSchema" xmlns:p="http://schemas.microsoft.com/office/2006/metadata/properties" xmlns:ns2="d005a70f-e9eb-482f-be8b-dc15414a6e72" xmlns:ns3="fcc0db23-895c-44d3-85c9-563d09dd4648" targetNamespace="http://schemas.microsoft.com/office/2006/metadata/properties" ma:root="true" ma:fieldsID="365f97db1c2ecf002afa5e058d0d42c1" ns2:_="" ns3:_="">
    <xsd:import namespace="d005a70f-e9eb-482f-be8b-dc15414a6e72"/>
    <xsd:import namespace="fcc0db23-895c-44d3-85c9-563d09dd464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5a70f-e9eb-482f-be8b-dc15414a6e7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8b075c07-ef1e-4768-bfd5-1e7697736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0db23-895c-44d3-85c9-563d09dd464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94d9d5-bc7c-47c9-be70-d9ac415bee53}" ma:internalName="TaxCatchAll" ma:showField="CatchAllData" ma:web="fcc0db23-895c-44d3-85c9-563d09dd46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05a70f-e9eb-482f-be8b-dc15414a6e72">
      <Terms xmlns="http://schemas.microsoft.com/office/infopath/2007/PartnerControls"/>
    </lcf76f155ced4ddcb4097134ff3c332f>
    <TaxCatchAll xmlns="fcc0db23-895c-44d3-85c9-563d09dd4648" xsi:nil="true"/>
  </documentManagement>
</p:properties>
</file>

<file path=customXml/itemProps1.xml><?xml version="1.0" encoding="utf-8"?>
<ds:datastoreItem xmlns:ds="http://schemas.openxmlformats.org/officeDocument/2006/customXml" ds:itemID="{55C78BE2-5054-4AF5-B232-36A2B8137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05a70f-e9eb-482f-be8b-dc15414a6e72"/>
    <ds:schemaRef ds:uri="fcc0db23-895c-44d3-85c9-563d09dd46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E59318-8684-46B0-9F86-3030C19DE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EF1BED-7943-4904-A0B0-60D65170A535}">
  <ds:schemaRefs>
    <ds:schemaRef ds:uri="fcc0db23-895c-44d3-85c9-563d09dd4648"/>
    <ds:schemaRef ds:uri="http://schemas.openxmlformats.org/package/2006/metadata/core-properties"/>
    <ds:schemaRef ds:uri="http://www.w3.org/XML/1998/namespace"/>
    <ds:schemaRef ds:uri="d005a70f-e9eb-482f-be8b-dc15414a6e72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TimeSlots</vt:lpstr>
      <vt:lpstr>EndPresi_GR1</vt:lpstr>
      <vt:lpstr>EndPresi_GR2</vt:lpstr>
      <vt:lpstr>EndPresi_GR3</vt:lpstr>
      <vt:lpstr>EndPresi_GR4</vt:lpstr>
      <vt:lpstr>EndPresi_GR5</vt:lpstr>
      <vt:lpstr>EndPresi_GR6</vt:lpstr>
      <vt:lpstr>EndPresi_GR7</vt:lpstr>
      <vt:lpstr>EndPresi_GR8</vt:lpstr>
      <vt:lpstr>EndPresi_GR9</vt:lpstr>
      <vt:lpstr>EndPresi_GR10</vt:lpstr>
      <vt:lpstr>EndPresi_GR11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Volkan Demir</dc:creator>
  <cp:keywords/>
  <dc:description/>
  <cp:lastModifiedBy>Demir,  Volkan (BZZ)</cp:lastModifiedBy>
  <cp:revision/>
  <cp:lastPrinted>2024-04-15T10:28:47Z</cp:lastPrinted>
  <dcterms:created xsi:type="dcterms:W3CDTF">2015-06-05T18:19:34Z</dcterms:created>
  <dcterms:modified xsi:type="dcterms:W3CDTF">2026-04-22T06:26:28Z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0x01010063EF91E59A045E49BE546A552D95CD85</vt:lpwstr>
  </property>
  <property fmtid="{D5CDD505-2E9C-101B-9397-08002B2CF9AE}" pid="3" name="MediaServiceImageTags">
    <vt:lpwstr/>
  </property>
</Properties>
</file>